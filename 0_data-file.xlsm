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RANJITH JEYARAMAN\Downloads\"/>
    </mc:Choice>
  </mc:AlternateContent>
  <xr:revisionPtr revIDLastSave="0" documentId="13_ncr:1_{64330B30-1BF1-47E8-B6E1-CCF61D0D0386}" xr6:coauthVersionLast="47" xr6:coauthVersionMax="47" xr10:uidLastSave="{00000000-0000-0000-0000-000000000000}"/>
  <bookViews>
    <workbookView xWindow="-108" yWindow="-108" windowWidth="23256" windowHeight="12456" xr2:uid="{CE7C6016-0442-4699-AE9F-5CF5ED083DB1}"/>
  </bookViews>
  <sheets>
    <sheet name="Dashboard" sheetId="3" r:id="rId1"/>
    <sheet name="Data" sheetId="1" r:id="rId2"/>
    <sheet name="Pivot" sheetId="2" r:id="rId3"/>
  </sheets>
  <definedNames>
    <definedName name="Slicer_Department">#N/A</definedName>
    <definedName name="Slicer_Month">#N/A</definedName>
  </definedNames>
  <calcPr calcId="191029"/>
  <pivotCaches>
    <pivotCache cacheId="66"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F5" i="3" l="1"/>
  <c r="AF4" i="3"/>
  <c r="AF3" i="3"/>
  <c r="AF2" i="3"/>
  <c r="O56" i="2"/>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6" i="3" l="1"/>
  <c r="AF7" i="3"/>
</calcChain>
</file>

<file path=xl/sharedStrings.xml><?xml version="1.0" encoding="utf-8"?>
<sst xmlns="http://schemas.openxmlformats.org/spreadsheetml/2006/main" count="3395" uniqueCount="927">
  <si>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</si>
  <si>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</si>
  <si>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</si>
  <si>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</si>
  <si>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</si>
  <si>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</si>
  <si>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</si>
  <si>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</si>
  <si>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</si>
  <si>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</si>
  <si>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</si>
  <si>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</si>
  <si>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</si>
  <si>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</si>
  <si>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</si>
  <si>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</si>
  <si>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</si>
  <si>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</si>
  <si>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</si>
  <si>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</si>
  <si>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</si>
  <si>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</si>
  <si>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</si>
  <si>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</si>
  <si>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</si>
  <si>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</si>
  <si>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</si>
  <si>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</si>
  <si>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</si>
  <si>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</si>
  <si>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</si>
  <si>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</si>
  <si>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</si>
  <si>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</si>
  <si>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</si>
  <si>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</si>
  <si>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</si>
  <si>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</si>
  <si>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</si>
  <si>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</si>
  <si>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</si>
  <si>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</si>
  <si>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</si>
  <si>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</si>
  <si>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</si>
  <si>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</si>
  <si>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</si>
  <si>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</si>
  <si>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</si>
  <si>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</si>
  <si>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</si>
  <si>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</si>
  <si>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</si>
  <si>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</si>
  <si>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</si>
  <si>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</si>
  <si>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</si>
  <si>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</si>
  <si>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</si>
  <si>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</si>
  <si>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</si>
  <si>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</si>
  <si>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</si>
  <si>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</si>
  <si>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</si>
  <si>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</si>
  <si>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</si>
  <si>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</si>
  <si>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</si>
  <si>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</si>
  <si>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</si>
  <si>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</si>
  <si>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</si>
  <si>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</si>
  <si>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</si>
  <si>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</si>
  <si>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</si>
  <si>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</si>
  <si>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</si>
  <si>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</si>
  <si>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</si>
  <si>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</si>
  <si>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</si>
  <si>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</si>
  <si>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</si>
  <si>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</si>
  <si>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</si>
  <si>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</si>
  <si>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</si>
  <si>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</si>
  <si>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</si>
  <si>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</si>
  <si>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</si>
  <si>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</si>
  <si>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</si>
  <si>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</si>
  <si>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</si>
  <si>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</si>
  <si>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</si>
  <si>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</si>
  <si>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</si>
  <si>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</si>
  <si>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</si>
  <si>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</si>
  <si>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</si>
  <si>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</si>
  <si>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</si>
  <si>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</si>
  <si>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</si>
  <si>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</si>
  <si>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</si>
  <si>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</si>
  <si>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</si>
  <si>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</si>
  <si>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</si>
  <si>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</si>
  <si>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</si>
  <si>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</si>
  <si>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</si>
  <si>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</si>
  <si>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</si>
  <si>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</si>
  <si>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</si>
  <si>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</si>
  <si>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</si>
  <si>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</si>
  <si>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</si>
  <si>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</si>
  <si>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</si>
  <si>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</si>
  <si>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</si>
  <si>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</si>
  <si>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</si>
  <si>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</si>
  <si>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</si>
  <si>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</si>
  <si>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</si>
  <si>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</si>
  <si>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</si>
  <si>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</si>
  <si>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</si>
  <si>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</si>
  <si>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</si>
  <si>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</si>
  <si>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</si>
  <si>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</si>
  <si>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</si>
  <si>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</si>
  <si>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</si>
  <si>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</si>
  <si>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</si>
  <si>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</si>
  <si>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</si>
  <si>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</si>
  <si>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</si>
  <si>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</si>
  <si>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</si>
  <si>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</si>
  <si>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</si>
  <si>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</si>
  <si>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</si>
  <si>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</si>
  <si>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</si>
  <si>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</si>
  <si>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</si>
  <si>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</si>
  <si>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</si>
  <si>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</si>
  <si>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</si>
  <si>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</si>
  <si>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</si>
  <si>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</si>
  <si>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</si>
  <si>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</si>
  <si>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</si>
  <si>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</si>
  <si>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</si>
  <si>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</si>
  <si>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</si>
  <si>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</si>
  <si>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</si>
  <si>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</si>
  <si>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</si>
  <si>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</si>
  <si>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</si>
  <si>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</si>
  <si>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</si>
  <si>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</si>
  <si>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</si>
  <si>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</si>
  <si>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</si>
  <si>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</si>
  <si>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</si>
  <si>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</si>
  <si>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</si>
  <si>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</si>
  <si>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</si>
  <si>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</si>
  <si>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</si>
  <si>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</si>
  <si>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</si>
  <si>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</si>
  <si>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</si>
  <si>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</si>
  <si>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</si>
  <si>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</si>
  <si>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</si>
  <si>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</si>
  <si>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</si>
  <si>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</si>
  <si>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</si>
  <si>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</si>
  <si>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</si>
  <si>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</si>
  <si>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</si>
  <si>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</si>
  <si>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</si>
  <si>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</si>
  <si>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</si>
  <si>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</si>
  <si>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</si>
  <si>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</si>
  <si>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</si>
  <si>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</si>
  <si>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</si>
  <si>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</si>
  <si>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</si>
  <si>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</si>
  <si>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</si>
  <si>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</si>
  <si>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</si>
  <si>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</si>
  <si>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</si>
  <si>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</si>
  <si>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</si>
  <si>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</si>
  <si>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</si>
  <si>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</si>
  <si>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</si>
  <si>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</si>
  <si>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</si>
  <si>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</si>
  <si>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</si>
  <si>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</si>
  <si>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</si>
  <si>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</si>
  <si>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</si>
  <si>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</si>
  <si>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</si>
  <si>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</si>
  <si>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</si>
  <si>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</si>
  <si>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</si>
  <si>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</si>
  <si>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</si>
  <si>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</si>
  <si>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</si>
  <si>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</si>
  <si>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</si>
  <si>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</si>
  <si>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</si>
  <si>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</si>
  <si>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</si>
  <si>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</si>
  <si>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</si>
  <si>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</si>
  <si>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</si>
  <si>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</si>
  <si>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</si>
  <si>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</si>
  <si>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</si>
  <si>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</si>
  <si>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</si>
  <si>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</si>
  <si>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</si>
  <si>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</si>
  <si>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</si>
  <si>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</si>
  <si>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</si>
  <si>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</si>
  <si>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</si>
  <si>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</si>
  <si>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</si>
  <si>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</si>
  <si>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</si>
  <si>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</si>
  <si>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</si>
  <si>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</si>
  <si>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</si>
  <si>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</si>
  <si>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</si>
  <si>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</si>
  <si>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</si>
  <si>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</si>
  <si>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</si>
  <si>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</si>
  <si>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</si>
  <si>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</si>
  <si>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</si>
  <si>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</si>
  <si>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</si>
  <si>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</si>
  <si>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</si>
  <si>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</si>
  <si>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</si>
  <si>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</si>
  <si>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</si>
  <si>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</si>
  <si>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</si>
  <si>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</si>
  <si>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</si>
  <si>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</si>
  <si>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</si>
  <si>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</si>
  <si>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</si>
  <si>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</si>
  <si>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</si>
  <si>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</si>
  <si>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</si>
  <si>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</si>
  <si>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</si>
  <si>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</si>
  <si>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</si>
  <si>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</si>
  <si>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</si>
  <si>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</si>
  <si>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</si>
  <si>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</si>
  <si>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</si>
  <si>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</si>
  <si>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</si>
  <si>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</si>
  <si>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</si>
  <si>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</si>
  <si>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</si>
  <si>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</si>
  <si>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</si>
  <si>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</si>
  <si>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</si>
  <si>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</si>
  <si>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</si>
  <si>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</si>
  <si>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</si>
  <si>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</si>
  <si>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</si>
  <si>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</si>
  <si>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</si>
  <si>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</si>
  <si>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</si>
  <si>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</si>
  <si>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</si>
  <si>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</si>
  <si>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</si>
  <si>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</si>
  <si>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</si>
  <si>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</si>
  <si>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</si>
  <si>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</si>
  <si>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</si>
  <si>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</si>
  <si>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</si>
  <si>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</si>
  <si>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</si>
  <si>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</si>
  <si>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</si>
  <si>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</si>
  <si>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</si>
  <si>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</si>
  <si>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</si>
  <si>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</si>
  <si>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</si>
  <si>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</si>
  <si>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</si>
  <si>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</si>
  <si>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</si>
  <si>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</si>
  <si>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</si>
  <si>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</si>
  <si>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</si>
  <si>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</si>
  <si>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</si>
  <si>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</si>
  <si>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</si>
  <si>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</si>
  <si>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</si>
  <si>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</si>
  <si>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</si>
  <si>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</si>
  <si>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</si>
  <si>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</si>
  <si>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</si>
  <si>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</si>
  <si>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</si>
  <si>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</si>
  <si>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</si>
  <si>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</si>
  <si>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</si>
  <si>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</si>
  <si>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</si>
  <si>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</si>
  <si>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</si>
  <si>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</si>
  <si>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</si>
  <si>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</si>
  <si>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</si>
  <si>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</si>
  <si>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</si>
  <si>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</si>
  <si>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</si>
  <si>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</si>
  <si>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</si>
  <si>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</si>
  <si>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</si>
  <si>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</si>
  <si>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</si>
  <si>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</si>
  <si>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</si>
  <si>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</si>
  <si>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</si>
  <si>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</si>
  <si>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</si>
  <si>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</si>
  <si>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</si>
  <si>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</si>
  <si>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</si>
  <si>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</si>
  <si>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</si>
  <si>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</si>
  <si>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</si>
  <si>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</si>
  <si>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</si>
  <si>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</si>
  <si>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</si>
  <si>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</si>
  <si>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</si>
  <si>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</si>
  <si>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</si>
  <si>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</si>
  <si>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</si>
  <si>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</si>
  <si>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</si>
  <si>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</si>
  <si>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</si>
  <si>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</si>
  <si>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</si>
  <si>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</si>
  <si>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</si>
  <si>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</si>
  <si>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</si>
  <si>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</si>
  <si>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</si>
  <si>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</si>
  <si>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</si>
  <si>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</si>
  <si>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</si>
  <si>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</si>
  <si>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</si>
  <si>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</si>
  <si>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</si>
  <si>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</si>
  <si>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</si>
  <si>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</si>
  <si>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</si>
  <si>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</si>
  <si>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</si>
  <si>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</si>
  <si>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</si>
  <si>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</si>
  <si>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</si>
  <si>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</si>
  <si>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</si>
  <si>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</si>
  <si>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</si>
  <si>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</si>
  <si>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</si>
  <si>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</si>
  <si>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</si>
  <si>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</si>
  <si>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</si>
  <si>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</si>
  <si>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</si>
  <si>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</si>
  <si>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</si>
  <si>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</si>
  <si>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</si>
  <si>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</si>
  <si>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</si>
  <si>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</si>
  <si>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</si>
  <si>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</si>
  <si>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</si>
  <si>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</si>
  <si>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</si>
  <si>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</si>
  <si>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</si>
  <si>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</si>
  <si>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</si>
  <si>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</si>
  <si>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</si>
  <si>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</si>
  <si>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</si>
  <si>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</si>
  <si>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</si>
  <si>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</si>
  <si>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</si>
  <si>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</si>
  <si>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</si>
  <si>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</si>
  <si>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</si>
  <si>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</si>
  <si>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</si>
  <si>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</si>
  <si>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</si>
  <si>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</si>
  <si>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</si>
  <si>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</si>
  <si>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</si>
  <si>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</si>
  <si>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</si>
  <si>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</si>
  <si>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</si>
  <si>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</si>
  <si>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</si>
  <si>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</si>
  <si>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</si>
  <si>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</si>
  <si>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</si>
  <si>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</si>
  <si>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</si>
  <si>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</si>
  <si>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</si>
  <si>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</si>
  <si>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</si>
  <si>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</si>
  <si>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</si>
  <si>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</si>
  <si>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</si>
  <si>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</si>
  <si>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</si>
  <si>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</si>
  <si>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</si>
  <si>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</si>
  <si>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</si>
  <si>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</si>
  <si>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</si>
  <si>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</si>
  <si>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</si>
  <si>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</si>
  <si>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</si>
  <si>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</si>
  <si>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</si>
  <si>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</si>
  <si>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</si>
  <si>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</si>
  <si>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</si>
  <si>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</si>
  <si>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</si>
  <si>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</si>
  <si>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</si>
  <si>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</si>
  <si>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</si>
  <si>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</si>
  <si>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</si>
  <si>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</si>
  <si>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</si>
  <si>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</si>
  <si>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</si>
  <si>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</si>
  <si>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</si>
  <si>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</si>
  <si>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</si>
  <si>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</si>
  <si>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</si>
  <si>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</si>
  <si>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</si>
  <si>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</si>
  <si>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</si>
  <si>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</si>
  <si>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</si>
  <si>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</si>
  <si>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</si>
  <si>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</si>
  <si>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</si>
  <si>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</si>
  <si>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</si>
  <si>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</si>
  <si>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</si>
  <si>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</si>
  <si>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</si>
  <si>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</si>
  <si>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</si>
  <si>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</si>
  <si>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</si>
  <si>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</si>
  <si>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</si>
  <si>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</si>
  <si>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</si>
  <si>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</si>
  <si>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</si>
  <si>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</si>
  <si>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</si>
  <si>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</si>
  <si>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</si>
  <si>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</si>
  <si>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</si>
  <si>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</si>
  <si>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</si>
  <si>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</si>
  <si>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</si>
  <si>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</si>
  <si>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</si>
  <si>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</si>
  <si>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</si>
  <si>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</si>
  <si>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</si>
  <si>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</si>
  <si>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</si>
  <si>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</si>
  <si>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</si>
  <si>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</si>
  <si>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</si>
  <si>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</si>
  <si>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</si>
  <si>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</si>
  <si>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</si>
  <si>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</si>
  <si>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</si>
  <si>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</si>
  <si>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</si>
  <si>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</si>
  <si>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</si>
  <si>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</si>
  <si>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</si>
  <si>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</si>
  <si>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</si>
  <si>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</si>
  <si>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</si>
  <si>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</si>
  <si>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</si>
  <si>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</si>
  <si>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</si>
  <si>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</si>
  <si>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</si>
  <si>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</si>
  <si>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</si>
  <si>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</si>
  <si>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</si>
  <si>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</si>
  <si>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</si>
  <si>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</si>
  <si>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</si>
  <si>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</si>
  <si>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</si>
  <si>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</si>
  <si>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</si>
  <si>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</si>
  <si>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</si>
  <si>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</si>
  <si>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</si>
  <si>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</si>
  <si>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</si>
  <si>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</si>
  <si>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</si>
  <si>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</si>
  <si>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</si>
  <si>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</si>
  <si>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</si>
  <si>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</si>
  <si>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</si>
  <si>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</si>
  <si>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</si>
  <si>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</si>
  <si>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</si>
  <si>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</si>
  <si>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</si>
  <si>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</si>
  <si>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</si>
  <si>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</si>
  <si>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</si>
  <si>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</si>
  <si>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</si>
  <si>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</si>
  <si>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</si>
  <si>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</si>
  <si>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</si>
  <si>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</si>
  <si>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</si>
  <si>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</si>
  <si>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</si>
  <si>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</si>
  <si>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</si>
  <si>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</si>
  <si>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</si>
  <si>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</si>
  <si>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</si>
  <si>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</si>
  <si>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</si>
  <si>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</si>
  <si>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</si>
  <si>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</si>
  <si>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</si>
  <si>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</si>
  <si>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</si>
  <si>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</si>
  <si>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</si>
  <si>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</si>
  <si>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</si>
  <si>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</si>
  <si>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</si>
  <si>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</si>
  <si>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</si>
  <si>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</si>
  <si>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</si>
  <si>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</si>
  <si>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</si>
  <si>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</si>
  <si>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</si>
  <si>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</si>
  <si>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</si>
  <si>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</si>
  <si>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</si>
  <si>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</si>
  <si>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</si>
  <si>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</si>
  <si>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</si>
  <si>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</si>
  <si>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</si>
  <si>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</si>
  <si>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</si>
  <si>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</si>
  <si>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</si>
  <si>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</si>
  <si>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</si>
  <si>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</si>
  <si>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</si>
  <si>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</si>
  <si>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</si>
  <si>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</si>
  <si>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</si>
  <si>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</si>
  <si>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</si>
  <si>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</si>
  <si>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</si>
  <si>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</si>
  <si>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</si>
  <si>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</si>
  <si>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</si>
  <si>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</si>
  <si>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</si>
  <si>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</si>
  <si>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</si>
  <si>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</si>
  <si>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</si>
  <si>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</si>
  <si>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</si>
  <si>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</si>
  <si>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</si>
  <si>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</si>
  <si>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</si>
  <si>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</si>
  <si>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</si>
  <si>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</si>
  <si>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</si>
  <si>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</si>
  <si>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</si>
  <si>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</si>
  <si>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</si>
  <si>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</si>
  <si>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</si>
  <si>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</si>
  <si>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</si>
  <si>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</si>
  <si>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</si>
  <si>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</si>
  <si>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</si>
  <si>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</si>
  <si>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</si>
  <si>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</si>
  <si>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</si>
  <si>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</si>
  <si>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</si>
  <si>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</si>
  <si>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</si>
  <si>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</si>
  <si>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</si>
  <si>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</si>
  <si>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</si>
  <si>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</si>
  <si>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</si>
  <si>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</si>
  <si>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</si>
  <si>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</si>
  <si>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</si>
  <si>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</si>
  <si>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</si>
  <si>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</si>
  <si>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</si>
  <si>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</si>
  <si>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</si>
  <si>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</si>
  <si>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</si>
  <si>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</si>
  <si>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</si>
  <si>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</si>
  <si>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</si>
  <si>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</si>
  <si>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</si>
  <si>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</si>
  <si>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</si>
  <si>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</si>
  <si>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</si>
  <si>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</si>
  <si>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</si>
  <si>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</si>
  <si>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</si>
  <si>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</si>
  <si>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</si>
  <si>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</si>
  <si>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</si>
  <si>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</si>
  <si>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</si>
  <si>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</si>
  <si>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</si>
  <si>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</si>
  <si>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</si>
  <si>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</si>
  <si>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</si>
  <si>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</si>
  <si>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</si>
  <si>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</si>
  <si>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</si>
  <si>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</si>
  <si>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</si>
  <si>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</si>
  <si>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</si>
  <si>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</si>
  <si>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</si>
  <si>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</si>
  <si>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</si>
  <si>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</si>
  <si>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</si>
  <si>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</si>
  <si>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</si>
  <si>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</si>
  <si>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</si>
  <si>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</si>
  <si>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</si>
  <si>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</si>
  <si>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</si>
  <si>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</si>
  <si>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</si>
  <si>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</si>
  <si>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</si>
  <si>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</si>
  <si>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</si>
  <si>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</si>
  <si>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</si>
  <si>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</si>
  <si>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</si>
  <si>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</si>
  <si>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</si>
  <si>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</si>
  <si>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</si>
  <si>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</si>
  <si>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</si>
  <si>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</si>
  <si>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</si>
  <si>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</si>
  <si>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</si>
  <si>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</si>
  <si>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</si>
  <si>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</si>
  <si>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</si>
  <si>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</si>
  <si>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</si>
  <si>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</si>
  <si>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</si>
  <si>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</si>
  <si>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</si>
  <si>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</si>
  <si>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</si>
  <si>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</si>
  <si>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</si>
  <si>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</si>
  <si>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</si>
  <si>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</si>
  <si>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</si>
  <si>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</si>
  <si>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</si>
  <si>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</si>
  <si>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</si>
  <si>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</si>
  <si>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</si>
  <si>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</si>
  <si>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</si>
  <si>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</si>
  <si>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</si>
  <si>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</si>
  <si>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</si>
  <si>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</si>
  <si>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</si>
  <si>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</si>
  <si>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</si>
  <si>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</si>
  <si>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</si>
  <si>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</si>
  <si>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</si>
  <si>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</si>
  <si>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</si>
  <si>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</si>
  <si>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</si>
  <si>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</si>
  <si>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</si>
  <si>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</si>
  <si>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</si>
  <si>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</si>
  <si>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</si>
  <si>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</si>
  <si>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</si>
  <si>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</si>
  <si>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</si>
  <si>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Dec</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</si>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</sst>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x14ac:knownFonts="1">
    <font>
      <sz val="11"/>
      <color theme="1"/>
      <name val="Aptos Narrow"/>
      <family val="2"/>
      <scheme val="minor"/>
    </font>
    <font>
      <b/>
      <sz val="11"/>
      <color rgb="FFFFFFFF"/>
      <name val="Aptos Narrow"/>
      <family val="2"/>
      <scheme val="minor"/>
    </font>
    <font>
      <sz val="10"/>
      <color theme="1"/>
      <name val="Aptos"/>
      <family val="2"/>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2" fillId="0" borderId="0" xfId="0" pivotButton="1" applyFont="1"/>
    <xf numFmtId="0" fontId="2" fillId="0" borderId="0" xfId="0" applyFont="1"/>
    <xf numFmtId="165" fontId="2" fillId="0" borderId="0" xfId="0" applyNumberFormat="1" applyFont="1"/>
    <xf numFmtId="0" fontId="0" fillId="0" borderId="0" xfId="0" applyNumberForma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557">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name val="Aptos"/>
        <scheme val="none"/>
      </font>
    </dxf>
    <dxf>
      <font>
        <name val="Aptos"/>
        <scheme val="none"/>
      </font>
    </dxf>
    <dxf>
      <font>
        <name val="Aptos"/>
        <scheme val="none"/>
      </font>
    </dxf>
    <dxf>
      <numFmt numFmtId="3" formatCode="#,##0"/>
    </dxf>
    <dxf>
      <numFmt numFmtId="165" formatCode="#,##0,&quot;K&quo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b/>
        <color rgb="FFFFFFFF"/>
      </font>
      <fill>
        <patternFill patternType="solid">
          <fgColor indexed="64"/>
          <bgColor rgb="FF0F4C1F"/>
        </patternFill>
      </fill>
    </dxf>
    <dxf>
      <numFmt numFmtId="165" formatCode="#,##0,&quot;K&quot;"/>
    </dxf>
    <dxf>
      <numFmt numFmtId="165" formatCode="#,##0,&quot;K&quot;"/>
    </dxf>
    <dxf>
      <numFmt numFmtId="165" formatCode="#,##0,&quot;K&quot;"/>
    </dxf>
    <dxf>
      <numFmt numFmtId="164" formatCode="d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392379</c:v>
                </c:pt>
                <c:pt idx="1">
                  <c:v>471180</c:v>
                </c:pt>
                <c:pt idx="2">
                  <c:v>303839</c:v>
                </c:pt>
                <c:pt idx="3">
                  <c:v>253250</c:v>
                </c:pt>
                <c:pt idx="4">
                  <c:v>93600</c:v>
                </c:pt>
                <c:pt idx="5">
                  <c:v>24299</c:v>
                </c:pt>
              </c:numCache>
            </c:numRef>
          </c:val>
          <c:extLst>
            <c:ext xmlns:c16="http://schemas.microsoft.com/office/drawing/2014/chart" uri="{C3380CC4-5D6E-409C-BE32-E72D297353CC}">
              <c16:uniqueId val="{00000000-1B76-406A-B558-29C21BDA071A}"/>
            </c:ext>
          </c:extLst>
        </c:ser>
        <c:dLbls>
          <c:showLegendKey val="0"/>
          <c:showVal val="0"/>
          <c:showCatName val="0"/>
          <c:showSerName val="0"/>
          <c:showPercent val="0"/>
          <c:showBubbleSize val="0"/>
        </c:dLbls>
        <c:gapWidth val="150"/>
        <c:axId val="2077314816"/>
        <c:axId val="2077312416"/>
      </c:barChart>
      <c:catAx>
        <c:axId val="2077314816"/>
        <c:scaling>
          <c:orientation val="minMax"/>
        </c:scaling>
        <c:delete val="0"/>
        <c:axPos val="b"/>
        <c:numFmt formatCode="General" sourceLinked="1"/>
        <c:majorTickMark val="out"/>
        <c:minorTickMark val="none"/>
        <c:tickLblPos val="nextTo"/>
        <c:spPr>
          <a:ln>
            <a:solidFill>
              <a:srgbClr val="D2D2D2"/>
            </a:solidFill>
          </a:ln>
        </c:spPr>
        <c:crossAx val="2077312416"/>
        <c:crosses val="autoZero"/>
        <c:auto val="1"/>
        <c:lblAlgn val="ctr"/>
        <c:lblOffset val="100"/>
        <c:noMultiLvlLbl val="0"/>
      </c:catAx>
      <c:valAx>
        <c:axId val="2077312416"/>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2077314816"/>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overlay val="0"/>
    </c:title>
    <c:autoTitleDeleted val="0"/>
    <c:plotArea>
      <c:layout>
        <c:manualLayout>
          <c:xMode val="edge"/>
          <c:yMode val="edge"/>
          <c:x val="3.8807114343426194E-2"/>
          <c:y val="0.14098765432098764"/>
          <c:w val="0.28013726931898869"/>
          <c:h val="0.75592592592592589"/>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E111-4F5E-AFF1-A2792D0B01CE}"/>
              </c:ext>
            </c:extLst>
          </c:dPt>
          <c:dPt>
            <c:idx val="1"/>
            <c:bubble3D val="0"/>
            <c:spPr>
              <a:solidFill>
                <a:srgbClr val="84C637"/>
              </a:solidFill>
              <a:ln>
                <a:solidFill>
                  <a:srgbClr val="FFFFFF"/>
                </a:solidFill>
              </a:ln>
            </c:spPr>
            <c:extLst>
              <c:ext xmlns:c16="http://schemas.microsoft.com/office/drawing/2014/chart" uri="{C3380CC4-5D6E-409C-BE32-E72D297353CC}">
                <c16:uniqueId val="{00000002-E111-4F5E-AFF1-A2792D0B01CE}"/>
              </c:ext>
            </c:extLst>
          </c:dPt>
          <c:dPt>
            <c:idx val="2"/>
            <c:bubble3D val="0"/>
            <c:spPr>
              <a:solidFill>
                <a:srgbClr val="5DB13A"/>
              </a:solidFill>
              <a:ln>
                <a:solidFill>
                  <a:srgbClr val="FFFFFF"/>
                </a:solidFill>
              </a:ln>
            </c:spPr>
            <c:extLst>
              <c:ext xmlns:c16="http://schemas.microsoft.com/office/drawing/2014/chart" uri="{C3380CC4-5D6E-409C-BE32-E72D297353CC}">
                <c16:uniqueId val="{00000003-E111-4F5E-AFF1-A2792D0B01CE}"/>
              </c:ext>
            </c:extLst>
          </c:dPt>
          <c:dPt>
            <c:idx val="3"/>
            <c:bubble3D val="0"/>
            <c:spPr>
              <a:solidFill>
                <a:srgbClr val="168A96"/>
              </a:solidFill>
              <a:ln>
                <a:solidFill>
                  <a:srgbClr val="FFFFFF"/>
                </a:solidFill>
              </a:ln>
            </c:spPr>
            <c:extLst>
              <c:ext xmlns:c16="http://schemas.microsoft.com/office/drawing/2014/chart" uri="{C3380CC4-5D6E-409C-BE32-E72D297353CC}">
                <c16:uniqueId val="{00000004-E111-4F5E-AFF1-A2792D0B01CE}"/>
              </c:ext>
            </c:extLst>
          </c:dPt>
          <c:dPt>
            <c:idx val="4"/>
            <c:bubble3D val="0"/>
            <c:spPr>
              <a:solidFill>
                <a:srgbClr val="7030A0"/>
              </a:solidFill>
              <a:ln>
                <a:solidFill>
                  <a:srgbClr val="FFFFFF"/>
                </a:solidFill>
              </a:ln>
            </c:spPr>
            <c:extLst>
              <c:ext xmlns:c16="http://schemas.microsoft.com/office/drawing/2014/chart" uri="{C3380CC4-5D6E-409C-BE32-E72D297353CC}">
                <c16:uniqueId val="{00000005-E111-4F5E-AFF1-A2792D0B01CE}"/>
              </c:ext>
            </c:extLst>
          </c:dPt>
          <c:dPt>
            <c:idx val="5"/>
            <c:bubble3D val="0"/>
            <c:spPr>
              <a:solidFill>
                <a:srgbClr val="618724"/>
              </a:solidFill>
              <a:ln>
                <a:solidFill>
                  <a:srgbClr val="FFFFFF"/>
                </a:solidFill>
              </a:ln>
            </c:spPr>
            <c:extLst>
              <c:ext xmlns:c16="http://schemas.microsoft.com/office/drawing/2014/chart" uri="{C3380CC4-5D6E-409C-BE32-E72D297353CC}">
                <c16:uniqueId val="{00000006-E111-4F5E-AFF1-A2792D0B01CE}"/>
              </c:ext>
            </c:extLst>
          </c:dPt>
          <c:dPt>
            <c:idx val="6"/>
            <c:bubble3D val="0"/>
            <c:spPr>
              <a:solidFill>
                <a:srgbClr val="91A0AA"/>
              </a:solidFill>
              <a:ln>
                <a:solidFill>
                  <a:srgbClr val="FFFFFF"/>
                </a:solidFill>
              </a:ln>
            </c:spPr>
            <c:extLst>
              <c:ext xmlns:c16="http://schemas.microsoft.com/office/drawing/2014/chart" uri="{C3380CC4-5D6E-409C-BE32-E72D297353CC}">
                <c16:uniqueId val="{00000007-E111-4F5E-AFF1-A2792D0B01CE}"/>
              </c:ext>
            </c:extLst>
          </c:dPt>
          <c:dPt>
            <c:idx val="7"/>
            <c:bubble3D val="0"/>
            <c:spPr>
              <a:solidFill>
                <a:srgbClr val="ED7D31"/>
              </a:solidFill>
              <a:ln>
                <a:solidFill>
                  <a:srgbClr val="FFFFFF"/>
                </a:solidFill>
              </a:ln>
            </c:spPr>
            <c:extLst>
              <c:ext xmlns:c16="http://schemas.microsoft.com/office/drawing/2014/chart" uri="{C3380CC4-5D6E-409C-BE32-E72D297353CC}">
                <c16:uniqueId val="{00000008-E111-4F5E-AFF1-A2792D0B01CE}"/>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778401</c:v>
                </c:pt>
                <c:pt idx="1">
                  <c:v>91878</c:v>
                </c:pt>
                <c:pt idx="2">
                  <c:v>233240</c:v>
                </c:pt>
                <c:pt idx="3">
                  <c:v>29519</c:v>
                </c:pt>
                <c:pt idx="4">
                  <c:v>110161</c:v>
                </c:pt>
                <c:pt idx="5">
                  <c:v>126955</c:v>
                </c:pt>
                <c:pt idx="6">
                  <c:v>129763</c:v>
                </c:pt>
                <c:pt idx="7">
                  <c:v>38630</c:v>
                </c:pt>
              </c:numCache>
            </c:numRef>
          </c:val>
          <c:extLst>
            <c:ext xmlns:c16="http://schemas.microsoft.com/office/drawing/2014/chart" uri="{C3380CC4-5D6E-409C-BE32-E72D297353CC}">
              <c16:uniqueId val="{00000000-E111-4F5E-AFF1-A2792D0B01CE}"/>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3441113861412881"/>
          <c:y val="0.15067901234567901"/>
          <c:w val="0.46558882536096058"/>
          <c:h val="0.72222222222222221"/>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Dec</c:v>
                </c:pt>
                <c:pt idx="1">
                  <c:v>Grand Total</c:v>
                </c:pt>
                <c:pt idx="2">
                  <c:v>0</c:v>
                </c:pt>
                <c:pt idx="3">
                  <c:v>0</c:v>
                </c:pt>
                <c:pt idx="4">
                  <c:v>0</c:v>
                </c:pt>
                <c:pt idx="5">
                  <c:v>0</c:v>
                </c:pt>
                <c:pt idx="6">
                  <c:v>0</c:v>
                </c:pt>
                <c:pt idx="7">
                  <c:v>0</c:v>
                </c:pt>
                <c:pt idx="8">
                  <c:v>0</c:v>
                </c:pt>
                <c:pt idx="9">
                  <c:v>0</c:v>
                </c:pt>
                <c:pt idx="10">
                  <c:v>0</c:v>
                </c:pt>
                <c:pt idx="11">
                  <c:v>0</c:v>
                </c:pt>
              </c:strCache>
            </c:strRef>
          </c:cat>
          <c:val>
            <c:numRef>
              <c:f>Pivot!$H$51:$H$62</c:f>
              <c:numCache>
                <c:formatCode>#,##0,"K"</c:formatCode>
                <c:ptCount val="12"/>
                <c:pt idx="0">
                  <c:v>1538547</c:v>
                </c:pt>
                <c:pt idx="1">
                  <c:v>1538547</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4612-4856-8A85-BCA332BDE3AC}"/>
            </c:ext>
          </c:extLst>
        </c:ser>
        <c:dLbls>
          <c:showLegendKey val="0"/>
          <c:showVal val="0"/>
          <c:showCatName val="0"/>
          <c:showSerName val="0"/>
          <c:showPercent val="0"/>
          <c:showBubbleSize val="0"/>
        </c:dLbls>
        <c:marker val="1"/>
        <c:smooth val="0"/>
        <c:axId val="166749520"/>
        <c:axId val="166750000"/>
      </c:lineChart>
      <c:catAx>
        <c:axId val="166749520"/>
        <c:scaling>
          <c:orientation val="minMax"/>
        </c:scaling>
        <c:delete val="0"/>
        <c:axPos val="b"/>
        <c:numFmt formatCode="General" sourceLinked="1"/>
        <c:majorTickMark val="out"/>
        <c:minorTickMark val="none"/>
        <c:tickLblPos val="nextTo"/>
        <c:spPr>
          <a:ln>
            <a:solidFill>
              <a:srgbClr val="D2D2D2"/>
            </a:solidFill>
          </a:ln>
        </c:spPr>
        <c:crossAx val="166750000"/>
        <c:crosses val="autoZero"/>
        <c:auto val="1"/>
        <c:lblAlgn val="ctr"/>
        <c:lblOffset val="100"/>
        <c:noMultiLvlLbl val="0"/>
      </c:catAx>
      <c:valAx>
        <c:axId val="166750000"/>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66749520"/>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392379</c:v>
                </c:pt>
                <c:pt idx="1">
                  <c:v>471180</c:v>
                </c:pt>
                <c:pt idx="2">
                  <c:v>303839</c:v>
                </c:pt>
                <c:pt idx="3">
                  <c:v>253250</c:v>
                </c:pt>
                <c:pt idx="4">
                  <c:v>93600</c:v>
                </c:pt>
                <c:pt idx="5">
                  <c:v>24299</c:v>
                </c:pt>
              </c:numCache>
            </c:numRef>
          </c:val>
          <c:extLst>
            <c:ext xmlns:c16="http://schemas.microsoft.com/office/drawing/2014/chart" uri="{C3380CC4-5D6E-409C-BE32-E72D297353CC}">
              <c16:uniqueId val="{00000000-B7DE-4AAE-9C88-B63F416C91CE}"/>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443874</c:v>
                </c:pt>
                <c:pt idx="1">
                  <c:v>579527</c:v>
                </c:pt>
                <c:pt idx="2">
                  <c:v>371751</c:v>
                </c:pt>
                <c:pt idx="3">
                  <c:v>336833</c:v>
                </c:pt>
                <c:pt idx="4">
                  <c:v>109146</c:v>
                </c:pt>
                <c:pt idx="5">
                  <c:v>31999</c:v>
                </c:pt>
              </c:numCache>
            </c:numRef>
          </c:val>
          <c:extLst>
            <c:ext xmlns:c16="http://schemas.microsoft.com/office/drawing/2014/chart" uri="{C3380CC4-5D6E-409C-BE32-E72D297353CC}">
              <c16:uniqueId val="{00000001-B7DE-4AAE-9C88-B63F416C91CE}"/>
            </c:ext>
          </c:extLst>
        </c:ser>
        <c:dLbls>
          <c:showLegendKey val="0"/>
          <c:showVal val="0"/>
          <c:showCatName val="0"/>
          <c:showSerName val="0"/>
          <c:showPercent val="0"/>
          <c:showBubbleSize val="0"/>
        </c:dLbls>
        <c:gapWidth val="150"/>
        <c:axId val="173497984"/>
        <c:axId val="173497024"/>
      </c:barChart>
      <c:catAx>
        <c:axId val="173497984"/>
        <c:scaling>
          <c:orientation val="minMax"/>
        </c:scaling>
        <c:delete val="0"/>
        <c:axPos val="b"/>
        <c:numFmt formatCode="General" sourceLinked="1"/>
        <c:majorTickMark val="out"/>
        <c:minorTickMark val="none"/>
        <c:tickLblPos val="nextTo"/>
        <c:spPr>
          <a:ln>
            <a:solidFill>
              <a:srgbClr val="D2D2D2"/>
            </a:solidFill>
          </a:ln>
        </c:spPr>
        <c:crossAx val="173497024"/>
        <c:crosses val="autoZero"/>
        <c:auto val="1"/>
        <c:lblAlgn val="ctr"/>
        <c:lblOffset val="100"/>
        <c:noMultiLvlLbl val="0"/>
      </c:catAx>
      <c:valAx>
        <c:axId val="173497024"/>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73497984"/>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111838</c:v>
                </c:pt>
                <c:pt idx="1">
                  <c:v>542868</c:v>
                </c:pt>
                <c:pt idx="2">
                  <c:v>738630</c:v>
                </c:pt>
                <c:pt idx="3">
                  <c:v>145211</c:v>
                </c:pt>
              </c:numCache>
            </c:numRef>
          </c:val>
          <c:extLst>
            <c:ext xmlns:c16="http://schemas.microsoft.com/office/drawing/2014/chart" uri="{C3380CC4-5D6E-409C-BE32-E72D297353CC}">
              <c16:uniqueId val="{00000000-8B55-4A36-ADF4-C31C7FA7705C}"/>
            </c:ext>
          </c:extLst>
        </c:ser>
        <c:dLbls>
          <c:showLegendKey val="0"/>
          <c:showVal val="0"/>
          <c:showCatName val="0"/>
          <c:showSerName val="0"/>
          <c:showPercent val="0"/>
          <c:showBubbleSize val="0"/>
        </c:dLbls>
        <c:gapWidth val="70"/>
        <c:axId val="173146224"/>
        <c:axId val="173149104"/>
      </c:barChart>
      <c:catAx>
        <c:axId val="173146224"/>
        <c:scaling>
          <c:orientation val="minMax"/>
        </c:scaling>
        <c:delete val="0"/>
        <c:axPos val="l"/>
        <c:numFmt formatCode="General" sourceLinked="1"/>
        <c:majorTickMark val="out"/>
        <c:minorTickMark val="none"/>
        <c:tickLblPos val="nextTo"/>
        <c:spPr>
          <a:ln>
            <a:solidFill>
              <a:srgbClr val="D2D2D2"/>
            </a:solidFill>
          </a:ln>
        </c:spPr>
        <c:crossAx val="173149104"/>
        <c:crosses val="autoZero"/>
        <c:auto val="1"/>
        <c:lblAlgn val="ctr"/>
        <c:lblOffset val="100"/>
        <c:noMultiLvlLbl val="0"/>
      </c:catAx>
      <c:valAx>
        <c:axId val="173149104"/>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73146224"/>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678F0DF6-21B3-71D1-1E03-BC6F239E8AD9}"/>
            </a:ext>
          </a:extLst>
        </xdr:cNvPr>
        <xdr:cNvSpPr/>
      </xdr:nvSpPr>
      <xdr:spPr>
        <a:xfrm>
          <a:off x="0" y="0"/>
          <a:ext cx="16687800" cy="822960"/>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144780</xdr:rowOff>
    </xdr:from>
    <xdr:to>
      <xdr:col>1</xdr:col>
      <xdr:colOff>129540</xdr:colOff>
      <xdr:row>2</xdr:row>
      <xdr:rowOff>129540</xdr:rowOff>
    </xdr:to>
    <xdr:sp macro="" textlink="">
      <xdr:nvSpPr>
        <xdr:cNvPr id="3" name="Oval 2">
          <a:extLst>
            <a:ext uri="{FF2B5EF4-FFF2-40B4-BE49-F238E27FC236}">
              <a16:creationId xmlns:a16="http://schemas.microsoft.com/office/drawing/2014/main" id="{7BD1A7D2-4A16-B5C4-0A8A-7849178680C1}"/>
            </a:ext>
          </a:extLst>
        </xdr:cNvPr>
        <xdr:cNvSpPr/>
      </xdr:nvSpPr>
      <xdr:spPr>
        <a:xfrm>
          <a:off x="152400" y="144780"/>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231140</xdr:colOff>
      <xdr:row>0</xdr:row>
      <xdr:rowOff>0</xdr:rowOff>
    </xdr:from>
    <xdr:to>
      <xdr:col>25</xdr:col>
      <xdr:colOff>139700</xdr:colOff>
      <xdr:row>3</xdr:row>
      <xdr:rowOff>0</xdr:rowOff>
    </xdr:to>
    <xdr:sp macro="" textlink="">
      <xdr:nvSpPr>
        <xdr:cNvPr id="4" name="TextBox 3">
          <a:extLst>
            <a:ext uri="{FF2B5EF4-FFF2-40B4-BE49-F238E27FC236}">
              <a16:creationId xmlns:a16="http://schemas.microsoft.com/office/drawing/2014/main" id="{9F52F491-7471-14D8-098B-9CA7523245EF}"/>
            </a:ext>
          </a:extLst>
        </xdr:cNvPr>
        <xdr:cNvSpPr txBox="1"/>
      </xdr:nvSpPr>
      <xdr:spPr>
        <a:xfrm>
          <a:off x="787400" y="0"/>
          <a:ext cx="132588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241300</xdr:colOff>
      <xdr:row>0</xdr:row>
      <xdr:rowOff>50800</xdr:rowOff>
    </xdr:from>
    <xdr:to>
      <xdr:col>29</xdr:col>
      <xdr:colOff>429260</xdr:colOff>
      <xdr:row>2</xdr:row>
      <xdr:rowOff>223520</xdr:rowOff>
    </xdr:to>
    <xdr:sp macro="" textlink="">
      <xdr:nvSpPr>
        <xdr:cNvPr id="5" name="TextBox 4">
          <a:extLst>
            <a:ext uri="{FF2B5EF4-FFF2-40B4-BE49-F238E27FC236}">
              <a16:creationId xmlns:a16="http://schemas.microsoft.com/office/drawing/2014/main" id="{251383ED-DC4F-F076-35F9-90B9D48E8248}"/>
            </a:ext>
          </a:extLst>
        </xdr:cNvPr>
        <xdr:cNvSpPr txBox="1"/>
      </xdr:nvSpPr>
      <xdr:spPr>
        <a:xfrm>
          <a:off x="14147800" y="50800"/>
          <a:ext cx="2413000" cy="7213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Jun 24,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C3E9C30F-8FEE-3437-EF45-A6D1065F71ED}"/>
            </a:ext>
          </a:extLst>
        </xdr:cNvPr>
        <xdr:cNvSpPr/>
      </xdr:nvSpPr>
      <xdr:spPr>
        <a:xfrm>
          <a:off x="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53340</xdr:colOff>
      <xdr:row>7</xdr:row>
      <xdr:rowOff>0</xdr:rowOff>
    </xdr:to>
    <xdr:sp macro="" textlink="">
      <xdr:nvSpPr>
        <xdr:cNvPr id="7" name="Oval 6">
          <a:extLst>
            <a:ext uri="{FF2B5EF4-FFF2-40B4-BE49-F238E27FC236}">
              <a16:creationId xmlns:a16="http://schemas.microsoft.com/office/drawing/2014/main" id="{309FF955-9067-4333-76FC-DC1954A2F01F}"/>
            </a:ext>
          </a:extLst>
        </xdr:cNvPr>
        <xdr:cNvSpPr/>
      </xdr:nvSpPr>
      <xdr:spPr>
        <a:xfrm>
          <a:off x="127000" y="125476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129540</xdr:colOff>
      <xdr:row>4</xdr:row>
      <xdr:rowOff>101600</xdr:rowOff>
    </xdr:from>
    <xdr:to>
      <xdr:col>4</xdr:col>
      <xdr:colOff>505460</xdr:colOff>
      <xdr:row>5</xdr:row>
      <xdr:rowOff>152400</xdr:rowOff>
    </xdr:to>
    <xdr:sp macro="" textlink="">
      <xdr:nvSpPr>
        <xdr:cNvPr id="8" name="TextBox 7">
          <a:extLst>
            <a:ext uri="{FF2B5EF4-FFF2-40B4-BE49-F238E27FC236}">
              <a16:creationId xmlns:a16="http://schemas.microsoft.com/office/drawing/2014/main" id="{25B5FFEB-7F2D-1E87-E138-D392E035F39E}"/>
            </a:ext>
          </a:extLst>
        </xdr:cNvPr>
        <xdr:cNvSpPr txBox="1"/>
      </xdr:nvSpPr>
      <xdr:spPr>
        <a:xfrm>
          <a:off x="6858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129540</xdr:colOff>
      <xdr:row>5</xdr:row>
      <xdr:rowOff>139700</xdr:rowOff>
    </xdr:from>
    <xdr:to>
      <xdr:col>4</xdr:col>
      <xdr:colOff>505460</xdr:colOff>
      <xdr:row>7</xdr:row>
      <xdr:rowOff>114300</xdr:rowOff>
    </xdr:to>
    <xdr:sp macro="" textlink="Dashboard!$AF$2">
      <xdr:nvSpPr>
        <xdr:cNvPr id="9" name="TextBox 8">
          <a:extLst>
            <a:ext uri="{FF2B5EF4-FFF2-40B4-BE49-F238E27FC236}">
              <a16:creationId xmlns:a16="http://schemas.microsoft.com/office/drawing/2014/main" id="{1F9B0673-5F70-D054-9584-EB4598805F19}"/>
            </a:ext>
          </a:extLst>
        </xdr:cNvPr>
        <xdr:cNvSpPr txBox="1"/>
      </xdr:nvSpPr>
      <xdr:spPr>
        <a:xfrm>
          <a:off x="6858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3FD9517-4AD2-4594-8D0D-2733598A4342}" type="TxLink">
            <a:rPr lang="en-US" sz="2800" b="1" i="0" u="none" strike="noStrike">
              <a:solidFill>
                <a:srgbClr val="054A19"/>
              </a:solidFill>
              <a:latin typeface="Aptos"/>
            </a:rPr>
            <a:t>1,539K</a:t>
          </a:fld>
          <a:endParaRPr lang="en-IN" sz="2800" b="1">
            <a:solidFill>
              <a:srgbClr val="054A19"/>
            </a:solidFill>
          </a:endParaRPr>
        </a:p>
      </xdr:txBody>
    </xdr:sp>
    <xdr:clientData/>
  </xdr:twoCellAnchor>
  <xdr:twoCellAnchor>
    <xdr:from>
      <xdr:col>1</xdr:col>
      <xdr:colOff>129540</xdr:colOff>
      <xdr:row>7</xdr:row>
      <xdr:rowOff>50800</xdr:rowOff>
    </xdr:from>
    <xdr:to>
      <xdr:col>4</xdr:col>
      <xdr:colOff>505460</xdr:colOff>
      <xdr:row>7</xdr:row>
      <xdr:rowOff>215900</xdr:rowOff>
    </xdr:to>
    <xdr:sp macro="" textlink="">
      <xdr:nvSpPr>
        <xdr:cNvPr id="10" name="TextBox 9">
          <a:extLst>
            <a:ext uri="{FF2B5EF4-FFF2-40B4-BE49-F238E27FC236}">
              <a16:creationId xmlns:a16="http://schemas.microsoft.com/office/drawing/2014/main" id="{B9FD58CE-B310-6912-14BE-E468D1C8A285}"/>
            </a:ext>
          </a:extLst>
        </xdr:cNvPr>
        <xdr:cNvSpPr txBox="1"/>
      </xdr:nvSpPr>
      <xdr:spPr>
        <a:xfrm>
          <a:off x="6858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F73B48FA-F237-CC95-A78E-78B0E879E4CB}"/>
            </a:ext>
          </a:extLst>
        </xdr:cNvPr>
        <xdr:cNvSpPr/>
      </xdr:nvSpPr>
      <xdr:spPr>
        <a:xfrm>
          <a:off x="27813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53340</xdr:colOff>
      <xdr:row>7</xdr:row>
      <xdr:rowOff>0</xdr:rowOff>
    </xdr:to>
    <xdr:sp macro="" textlink="">
      <xdr:nvSpPr>
        <xdr:cNvPr id="12" name="Oval 11">
          <a:extLst>
            <a:ext uri="{FF2B5EF4-FFF2-40B4-BE49-F238E27FC236}">
              <a16:creationId xmlns:a16="http://schemas.microsoft.com/office/drawing/2014/main" id="{0802D992-CAFE-66E0-1FD1-0CF8EEC31031}"/>
            </a:ext>
          </a:extLst>
        </xdr:cNvPr>
        <xdr:cNvSpPr/>
      </xdr:nvSpPr>
      <xdr:spPr>
        <a:xfrm>
          <a:off x="2908300" y="125476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129540</xdr:colOff>
      <xdr:row>4</xdr:row>
      <xdr:rowOff>101600</xdr:rowOff>
    </xdr:from>
    <xdr:to>
      <xdr:col>9</xdr:col>
      <xdr:colOff>505460</xdr:colOff>
      <xdr:row>5</xdr:row>
      <xdr:rowOff>152400</xdr:rowOff>
    </xdr:to>
    <xdr:sp macro="" textlink="">
      <xdr:nvSpPr>
        <xdr:cNvPr id="13" name="TextBox 12">
          <a:extLst>
            <a:ext uri="{FF2B5EF4-FFF2-40B4-BE49-F238E27FC236}">
              <a16:creationId xmlns:a16="http://schemas.microsoft.com/office/drawing/2014/main" id="{4D4A27DA-D4F3-C09D-4C23-03C6C8958DB9}"/>
            </a:ext>
          </a:extLst>
        </xdr:cNvPr>
        <xdr:cNvSpPr txBox="1"/>
      </xdr:nvSpPr>
      <xdr:spPr>
        <a:xfrm>
          <a:off x="34671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129540</xdr:colOff>
      <xdr:row>5</xdr:row>
      <xdr:rowOff>139700</xdr:rowOff>
    </xdr:from>
    <xdr:to>
      <xdr:col>9</xdr:col>
      <xdr:colOff>505460</xdr:colOff>
      <xdr:row>7</xdr:row>
      <xdr:rowOff>114300</xdr:rowOff>
    </xdr:to>
    <xdr:sp macro="" textlink="Dashboard!$AF$3">
      <xdr:nvSpPr>
        <xdr:cNvPr id="14" name="TextBox 13">
          <a:extLst>
            <a:ext uri="{FF2B5EF4-FFF2-40B4-BE49-F238E27FC236}">
              <a16:creationId xmlns:a16="http://schemas.microsoft.com/office/drawing/2014/main" id="{E4016867-10D8-CBA1-9B51-1E2A7499601F}"/>
            </a:ext>
          </a:extLst>
        </xdr:cNvPr>
        <xdr:cNvSpPr txBox="1"/>
      </xdr:nvSpPr>
      <xdr:spPr>
        <a:xfrm>
          <a:off x="34671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9C23689-FFC7-43F9-8869-600813D46A26}" type="TxLink">
            <a:rPr lang="en-US" sz="2800" b="1" i="0" u="none" strike="noStrike">
              <a:solidFill>
                <a:srgbClr val="054A19"/>
              </a:solidFill>
              <a:latin typeface="Aptos"/>
            </a:rPr>
            <a:t>1,873K</a:t>
          </a:fld>
          <a:endParaRPr lang="en-IN" sz="2800" b="1">
            <a:solidFill>
              <a:srgbClr val="054A19"/>
            </a:solidFill>
          </a:endParaRPr>
        </a:p>
      </xdr:txBody>
    </xdr:sp>
    <xdr:clientData/>
  </xdr:twoCellAnchor>
  <xdr:twoCellAnchor>
    <xdr:from>
      <xdr:col>6</xdr:col>
      <xdr:colOff>129540</xdr:colOff>
      <xdr:row>7</xdr:row>
      <xdr:rowOff>50800</xdr:rowOff>
    </xdr:from>
    <xdr:to>
      <xdr:col>9</xdr:col>
      <xdr:colOff>505460</xdr:colOff>
      <xdr:row>7</xdr:row>
      <xdr:rowOff>215900</xdr:rowOff>
    </xdr:to>
    <xdr:sp macro="" textlink="">
      <xdr:nvSpPr>
        <xdr:cNvPr id="15" name="TextBox 14">
          <a:extLst>
            <a:ext uri="{FF2B5EF4-FFF2-40B4-BE49-F238E27FC236}">
              <a16:creationId xmlns:a16="http://schemas.microsoft.com/office/drawing/2014/main" id="{9660EFA3-A181-E668-9CFC-7525006885C9}"/>
            </a:ext>
          </a:extLst>
        </xdr:cNvPr>
        <xdr:cNvSpPr txBox="1"/>
      </xdr:nvSpPr>
      <xdr:spPr>
        <a:xfrm>
          <a:off x="34671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D636FBE1-21EB-39FB-DE29-CEA9DAABBEEE}"/>
            </a:ext>
          </a:extLst>
        </xdr:cNvPr>
        <xdr:cNvSpPr/>
      </xdr:nvSpPr>
      <xdr:spPr>
        <a:xfrm>
          <a:off x="55626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53340</xdr:colOff>
      <xdr:row>7</xdr:row>
      <xdr:rowOff>0</xdr:rowOff>
    </xdr:to>
    <xdr:sp macro="" textlink="">
      <xdr:nvSpPr>
        <xdr:cNvPr id="17" name="Oval 16">
          <a:extLst>
            <a:ext uri="{FF2B5EF4-FFF2-40B4-BE49-F238E27FC236}">
              <a16:creationId xmlns:a16="http://schemas.microsoft.com/office/drawing/2014/main" id="{6424D680-9D67-A38A-0B33-EDA971367CCD}"/>
            </a:ext>
          </a:extLst>
        </xdr:cNvPr>
        <xdr:cNvSpPr/>
      </xdr:nvSpPr>
      <xdr:spPr>
        <a:xfrm>
          <a:off x="5689600" y="125476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129540</xdr:colOff>
      <xdr:row>4</xdr:row>
      <xdr:rowOff>101600</xdr:rowOff>
    </xdr:from>
    <xdr:to>
      <xdr:col>14</xdr:col>
      <xdr:colOff>505460</xdr:colOff>
      <xdr:row>5</xdr:row>
      <xdr:rowOff>152400</xdr:rowOff>
    </xdr:to>
    <xdr:sp macro="" textlink="">
      <xdr:nvSpPr>
        <xdr:cNvPr id="18" name="TextBox 17">
          <a:extLst>
            <a:ext uri="{FF2B5EF4-FFF2-40B4-BE49-F238E27FC236}">
              <a16:creationId xmlns:a16="http://schemas.microsoft.com/office/drawing/2014/main" id="{B2229023-6214-A1C0-90A7-641126647989}"/>
            </a:ext>
          </a:extLst>
        </xdr:cNvPr>
        <xdr:cNvSpPr txBox="1"/>
      </xdr:nvSpPr>
      <xdr:spPr>
        <a:xfrm>
          <a:off x="62484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129540</xdr:colOff>
      <xdr:row>5</xdr:row>
      <xdr:rowOff>139700</xdr:rowOff>
    </xdr:from>
    <xdr:to>
      <xdr:col>14</xdr:col>
      <xdr:colOff>505460</xdr:colOff>
      <xdr:row>7</xdr:row>
      <xdr:rowOff>114300</xdr:rowOff>
    </xdr:to>
    <xdr:sp macro="" textlink="Dashboard!$AF$4">
      <xdr:nvSpPr>
        <xdr:cNvPr id="19" name="TextBox 18">
          <a:extLst>
            <a:ext uri="{FF2B5EF4-FFF2-40B4-BE49-F238E27FC236}">
              <a16:creationId xmlns:a16="http://schemas.microsoft.com/office/drawing/2014/main" id="{4050931B-7A79-F496-96D3-C0BE66945681}"/>
            </a:ext>
          </a:extLst>
        </xdr:cNvPr>
        <xdr:cNvSpPr txBox="1"/>
      </xdr:nvSpPr>
      <xdr:spPr>
        <a:xfrm>
          <a:off x="62484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4188433-1216-4447-AC0D-1131EC1B9B93}" type="TxLink">
            <a:rPr lang="en-US" sz="2800" b="1" i="0" u="none" strike="noStrike">
              <a:solidFill>
                <a:srgbClr val="054A19"/>
              </a:solidFill>
              <a:latin typeface="Aptos"/>
            </a:rPr>
            <a:t>335K</a:t>
          </a:fld>
          <a:endParaRPr lang="en-IN" sz="2800" b="1">
            <a:solidFill>
              <a:srgbClr val="054A19"/>
            </a:solidFill>
          </a:endParaRPr>
        </a:p>
      </xdr:txBody>
    </xdr:sp>
    <xdr:clientData/>
  </xdr:twoCellAnchor>
  <xdr:twoCellAnchor>
    <xdr:from>
      <xdr:col>11</xdr:col>
      <xdr:colOff>129540</xdr:colOff>
      <xdr:row>7</xdr:row>
      <xdr:rowOff>50800</xdr:rowOff>
    </xdr:from>
    <xdr:to>
      <xdr:col>14</xdr:col>
      <xdr:colOff>505460</xdr:colOff>
      <xdr:row>7</xdr:row>
      <xdr:rowOff>215900</xdr:rowOff>
    </xdr:to>
    <xdr:sp macro="" textlink="">
      <xdr:nvSpPr>
        <xdr:cNvPr id="20" name="TextBox 19">
          <a:extLst>
            <a:ext uri="{FF2B5EF4-FFF2-40B4-BE49-F238E27FC236}">
              <a16:creationId xmlns:a16="http://schemas.microsoft.com/office/drawing/2014/main" id="{0AFC4EAC-2370-77AF-ABD0-CF4E361DB74D}"/>
            </a:ext>
          </a:extLst>
        </xdr:cNvPr>
        <xdr:cNvSpPr txBox="1"/>
      </xdr:nvSpPr>
      <xdr:spPr>
        <a:xfrm>
          <a:off x="62484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425B6D02-8946-A674-7C72-45E3690A3D46}"/>
            </a:ext>
          </a:extLst>
        </xdr:cNvPr>
        <xdr:cNvSpPr/>
      </xdr:nvSpPr>
      <xdr:spPr>
        <a:xfrm>
          <a:off x="83439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53340</xdr:colOff>
      <xdr:row>7</xdr:row>
      <xdr:rowOff>0</xdr:rowOff>
    </xdr:to>
    <xdr:sp macro="" textlink="">
      <xdr:nvSpPr>
        <xdr:cNvPr id="22" name="Oval 21">
          <a:extLst>
            <a:ext uri="{FF2B5EF4-FFF2-40B4-BE49-F238E27FC236}">
              <a16:creationId xmlns:a16="http://schemas.microsoft.com/office/drawing/2014/main" id="{1E0CE441-2174-9B61-80C5-76C91B0F733E}"/>
            </a:ext>
          </a:extLst>
        </xdr:cNvPr>
        <xdr:cNvSpPr/>
      </xdr:nvSpPr>
      <xdr:spPr>
        <a:xfrm>
          <a:off x="8470900" y="125476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129540</xdr:colOff>
      <xdr:row>4</xdr:row>
      <xdr:rowOff>101600</xdr:rowOff>
    </xdr:from>
    <xdr:to>
      <xdr:col>19</xdr:col>
      <xdr:colOff>505460</xdr:colOff>
      <xdr:row>5</xdr:row>
      <xdr:rowOff>152400</xdr:rowOff>
    </xdr:to>
    <xdr:sp macro="" textlink="">
      <xdr:nvSpPr>
        <xdr:cNvPr id="23" name="TextBox 22">
          <a:extLst>
            <a:ext uri="{FF2B5EF4-FFF2-40B4-BE49-F238E27FC236}">
              <a16:creationId xmlns:a16="http://schemas.microsoft.com/office/drawing/2014/main" id="{074BF8C5-C9BB-E1F4-7033-095A559AEE24}"/>
            </a:ext>
          </a:extLst>
        </xdr:cNvPr>
        <xdr:cNvSpPr txBox="1"/>
      </xdr:nvSpPr>
      <xdr:spPr>
        <a:xfrm>
          <a:off x="90297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129540</xdr:colOff>
      <xdr:row>5</xdr:row>
      <xdr:rowOff>139700</xdr:rowOff>
    </xdr:from>
    <xdr:to>
      <xdr:col>19</xdr:col>
      <xdr:colOff>505460</xdr:colOff>
      <xdr:row>7</xdr:row>
      <xdr:rowOff>114300</xdr:rowOff>
    </xdr:to>
    <xdr:sp macro="" textlink="Dashboard!$AF$5">
      <xdr:nvSpPr>
        <xdr:cNvPr id="24" name="TextBox 23">
          <a:extLst>
            <a:ext uri="{FF2B5EF4-FFF2-40B4-BE49-F238E27FC236}">
              <a16:creationId xmlns:a16="http://schemas.microsoft.com/office/drawing/2014/main" id="{E5EBDBCB-3D82-8DE6-44AE-2027E551262A}"/>
            </a:ext>
          </a:extLst>
        </xdr:cNvPr>
        <xdr:cNvSpPr txBox="1"/>
      </xdr:nvSpPr>
      <xdr:spPr>
        <a:xfrm>
          <a:off x="90297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C99F91F9-5161-4DCA-A5C1-8C2D9D80E1D5}" type="TxLink">
            <a:rPr lang="en-US" sz="2800" b="1" i="0" u="none" strike="noStrike">
              <a:solidFill>
                <a:srgbClr val="054A19"/>
              </a:solidFill>
              <a:latin typeface="Aptos"/>
            </a:rPr>
            <a:t>35</a:t>
          </a:fld>
          <a:endParaRPr lang="en-IN" sz="2800" b="1">
            <a:solidFill>
              <a:srgbClr val="054A19"/>
            </a:solidFill>
          </a:endParaRPr>
        </a:p>
      </xdr:txBody>
    </xdr:sp>
    <xdr:clientData/>
  </xdr:twoCellAnchor>
  <xdr:twoCellAnchor>
    <xdr:from>
      <xdr:col>16</xdr:col>
      <xdr:colOff>129540</xdr:colOff>
      <xdr:row>7</xdr:row>
      <xdr:rowOff>50800</xdr:rowOff>
    </xdr:from>
    <xdr:to>
      <xdr:col>19</xdr:col>
      <xdr:colOff>505460</xdr:colOff>
      <xdr:row>7</xdr:row>
      <xdr:rowOff>215900</xdr:rowOff>
    </xdr:to>
    <xdr:sp macro="" textlink="">
      <xdr:nvSpPr>
        <xdr:cNvPr id="25" name="TextBox 24">
          <a:extLst>
            <a:ext uri="{FF2B5EF4-FFF2-40B4-BE49-F238E27FC236}">
              <a16:creationId xmlns:a16="http://schemas.microsoft.com/office/drawing/2014/main" id="{75C77C18-B01A-6905-AEF6-91DC0C2BC1F1}"/>
            </a:ext>
          </a:extLst>
        </xdr:cNvPr>
        <xdr:cNvSpPr txBox="1"/>
      </xdr:nvSpPr>
      <xdr:spPr>
        <a:xfrm>
          <a:off x="90297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5BA0AA0D-E2BC-5878-B16E-41265EA45BCD}"/>
            </a:ext>
          </a:extLst>
        </xdr:cNvPr>
        <xdr:cNvSpPr/>
      </xdr:nvSpPr>
      <xdr:spPr>
        <a:xfrm>
          <a:off x="111252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53340</xdr:colOff>
      <xdr:row>7</xdr:row>
      <xdr:rowOff>0</xdr:rowOff>
    </xdr:to>
    <xdr:sp macro="" textlink="">
      <xdr:nvSpPr>
        <xdr:cNvPr id="27" name="Oval 26">
          <a:extLst>
            <a:ext uri="{FF2B5EF4-FFF2-40B4-BE49-F238E27FC236}">
              <a16:creationId xmlns:a16="http://schemas.microsoft.com/office/drawing/2014/main" id="{16C71796-7400-E9C3-1F0D-95FE440170D8}"/>
            </a:ext>
          </a:extLst>
        </xdr:cNvPr>
        <xdr:cNvSpPr/>
      </xdr:nvSpPr>
      <xdr:spPr>
        <a:xfrm>
          <a:off x="11252200" y="125476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129540</xdr:colOff>
      <xdr:row>4</xdr:row>
      <xdr:rowOff>101600</xdr:rowOff>
    </xdr:from>
    <xdr:to>
      <xdr:col>24</xdr:col>
      <xdr:colOff>505460</xdr:colOff>
      <xdr:row>5</xdr:row>
      <xdr:rowOff>152400</xdr:rowOff>
    </xdr:to>
    <xdr:sp macro="" textlink="">
      <xdr:nvSpPr>
        <xdr:cNvPr id="28" name="TextBox 27">
          <a:extLst>
            <a:ext uri="{FF2B5EF4-FFF2-40B4-BE49-F238E27FC236}">
              <a16:creationId xmlns:a16="http://schemas.microsoft.com/office/drawing/2014/main" id="{8DB14595-8993-4E9B-10F9-FD6B1BDDFB9E}"/>
            </a:ext>
          </a:extLst>
        </xdr:cNvPr>
        <xdr:cNvSpPr txBox="1"/>
      </xdr:nvSpPr>
      <xdr:spPr>
        <a:xfrm>
          <a:off x="118110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129540</xdr:colOff>
      <xdr:row>5</xdr:row>
      <xdr:rowOff>139700</xdr:rowOff>
    </xdr:from>
    <xdr:to>
      <xdr:col>24</xdr:col>
      <xdr:colOff>505460</xdr:colOff>
      <xdr:row>7</xdr:row>
      <xdr:rowOff>114300</xdr:rowOff>
    </xdr:to>
    <xdr:sp macro="" textlink="Dashboard!$AF$6">
      <xdr:nvSpPr>
        <xdr:cNvPr id="29" name="TextBox 28">
          <a:extLst>
            <a:ext uri="{FF2B5EF4-FFF2-40B4-BE49-F238E27FC236}">
              <a16:creationId xmlns:a16="http://schemas.microsoft.com/office/drawing/2014/main" id="{1882E612-A942-4CAF-9BCB-73A395603FD1}"/>
            </a:ext>
          </a:extLst>
        </xdr:cNvPr>
        <xdr:cNvSpPr txBox="1"/>
      </xdr:nvSpPr>
      <xdr:spPr>
        <a:xfrm>
          <a:off x="118110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B0820EC-1ABC-40E7-973E-42938F40E7CD}" type="TxLink">
            <a:rPr lang="en-US" sz="2800" b="1" i="0" u="none" strike="noStrike">
              <a:solidFill>
                <a:srgbClr val="054A19"/>
              </a:solidFill>
              <a:latin typeface="Aptos"/>
            </a:rPr>
            <a:t>88.6%</a:t>
          </a:fld>
          <a:endParaRPr lang="en-IN" sz="2800" b="1">
            <a:solidFill>
              <a:srgbClr val="054A19"/>
            </a:solidFill>
          </a:endParaRPr>
        </a:p>
      </xdr:txBody>
    </xdr:sp>
    <xdr:clientData/>
  </xdr:twoCellAnchor>
  <xdr:twoCellAnchor>
    <xdr:from>
      <xdr:col>21</xdr:col>
      <xdr:colOff>129540</xdr:colOff>
      <xdr:row>7</xdr:row>
      <xdr:rowOff>50800</xdr:rowOff>
    </xdr:from>
    <xdr:to>
      <xdr:col>24</xdr:col>
      <xdr:colOff>505460</xdr:colOff>
      <xdr:row>7</xdr:row>
      <xdr:rowOff>215900</xdr:rowOff>
    </xdr:to>
    <xdr:sp macro="" textlink="">
      <xdr:nvSpPr>
        <xdr:cNvPr id="30" name="TextBox 29">
          <a:extLst>
            <a:ext uri="{FF2B5EF4-FFF2-40B4-BE49-F238E27FC236}">
              <a16:creationId xmlns:a16="http://schemas.microsoft.com/office/drawing/2014/main" id="{8BD1A24D-1323-9FF0-8881-BAE2F44D4FA2}"/>
            </a:ext>
          </a:extLst>
        </xdr:cNvPr>
        <xdr:cNvSpPr txBox="1"/>
      </xdr:nvSpPr>
      <xdr:spPr>
        <a:xfrm>
          <a:off x="118110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6F4EEE0A-8D12-C30D-E0F2-0331591E5A87}"/>
            </a:ext>
          </a:extLst>
        </xdr:cNvPr>
        <xdr:cNvSpPr/>
      </xdr:nvSpPr>
      <xdr:spPr>
        <a:xfrm>
          <a:off x="139065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53340</xdr:colOff>
      <xdr:row>7</xdr:row>
      <xdr:rowOff>0</xdr:rowOff>
    </xdr:to>
    <xdr:sp macro="" textlink="">
      <xdr:nvSpPr>
        <xdr:cNvPr id="32" name="Oval 31">
          <a:extLst>
            <a:ext uri="{FF2B5EF4-FFF2-40B4-BE49-F238E27FC236}">
              <a16:creationId xmlns:a16="http://schemas.microsoft.com/office/drawing/2014/main" id="{5850E0FA-A68F-93A6-A58E-6C37E10A25C2}"/>
            </a:ext>
          </a:extLst>
        </xdr:cNvPr>
        <xdr:cNvSpPr/>
      </xdr:nvSpPr>
      <xdr:spPr>
        <a:xfrm>
          <a:off x="14033500" y="125476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129540</xdr:colOff>
      <xdr:row>4</xdr:row>
      <xdr:rowOff>101600</xdr:rowOff>
    </xdr:from>
    <xdr:to>
      <xdr:col>29</xdr:col>
      <xdr:colOff>505460</xdr:colOff>
      <xdr:row>5</xdr:row>
      <xdr:rowOff>152400</xdr:rowOff>
    </xdr:to>
    <xdr:sp macro="" textlink="">
      <xdr:nvSpPr>
        <xdr:cNvPr id="33" name="TextBox 32">
          <a:extLst>
            <a:ext uri="{FF2B5EF4-FFF2-40B4-BE49-F238E27FC236}">
              <a16:creationId xmlns:a16="http://schemas.microsoft.com/office/drawing/2014/main" id="{4CA6635E-BAED-AF24-3C08-5E33E619CC7D}"/>
            </a:ext>
          </a:extLst>
        </xdr:cNvPr>
        <xdr:cNvSpPr txBox="1"/>
      </xdr:nvSpPr>
      <xdr:spPr>
        <a:xfrm>
          <a:off x="145923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129540</xdr:colOff>
      <xdr:row>5</xdr:row>
      <xdr:rowOff>139700</xdr:rowOff>
    </xdr:from>
    <xdr:to>
      <xdr:col>29</xdr:col>
      <xdr:colOff>505460</xdr:colOff>
      <xdr:row>7</xdr:row>
      <xdr:rowOff>114300</xdr:rowOff>
    </xdr:to>
    <xdr:sp macro="" textlink="Dashboard!$AF$7">
      <xdr:nvSpPr>
        <xdr:cNvPr id="34" name="TextBox 33">
          <a:extLst>
            <a:ext uri="{FF2B5EF4-FFF2-40B4-BE49-F238E27FC236}">
              <a16:creationId xmlns:a16="http://schemas.microsoft.com/office/drawing/2014/main" id="{239F111A-E0C5-AF0B-74F4-E3DC69F31911}"/>
            </a:ext>
          </a:extLst>
        </xdr:cNvPr>
        <xdr:cNvSpPr txBox="1"/>
      </xdr:nvSpPr>
      <xdr:spPr>
        <a:xfrm>
          <a:off x="145923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0C944FD-B0DC-483D-85F7-661D995D86F3}" type="TxLink">
            <a:rPr lang="en-US" sz="2800" b="1" i="0" u="none" strike="noStrike">
              <a:solidFill>
                <a:srgbClr val="054A19"/>
              </a:solidFill>
              <a:latin typeface="Aptos"/>
            </a:rPr>
            <a:t>44K</a:t>
          </a:fld>
          <a:endParaRPr lang="en-IN" sz="2800" b="1">
            <a:solidFill>
              <a:srgbClr val="054A19"/>
            </a:solidFill>
          </a:endParaRPr>
        </a:p>
      </xdr:txBody>
    </xdr:sp>
    <xdr:clientData/>
  </xdr:twoCellAnchor>
  <xdr:twoCellAnchor>
    <xdr:from>
      <xdr:col>26</xdr:col>
      <xdr:colOff>129540</xdr:colOff>
      <xdr:row>7</xdr:row>
      <xdr:rowOff>50800</xdr:rowOff>
    </xdr:from>
    <xdr:to>
      <xdr:col>29</xdr:col>
      <xdr:colOff>505460</xdr:colOff>
      <xdr:row>7</xdr:row>
      <xdr:rowOff>215900</xdr:rowOff>
    </xdr:to>
    <xdr:sp macro="" textlink="">
      <xdr:nvSpPr>
        <xdr:cNvPr id="35" name="TextBox 34">
          <a:extLst>
            <a:ext uri="{FF2B5EF4-FFF2-40B4-BE49-F238E27FC236}">
              <a16:creationId xmlns:a16="http://schemas.microsoft.com/office/drawing/2014/main" id="{08816180-5472-F5B7-B2FD-58A9739C25A5}"/>
            </a:ext>
          </a:extLst>
        </xdr:cNvPr>
        <xdr:cNvSpPr txBox="1"/>
      </xdr:nvSpPr>
      <xdr:spPr>
        <a:xfrm>
          <a:off x="145923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E52F1331-D636-84B7-1B77-27066BCE7B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A59DEB7E-AB3D-B638-49A2-93ADE15C13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CC749EF3-E111-6569-E9DA-DE32CD4A5F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C5147480-B9D5-4ACC-C553-CB87FAA7DE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C20CB6D2-3101-1052-AD7B-37B1DE13FA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23949</xdr:colOff>
      <xdr:row>9</xdr:row>
      <xdr:rowOff>6531</xdr:rowOff>
    </xdr:from>
    <xdr:to>
      <xdr:col>30</xdr:col>
      <xdr:colOff>32657</xdr:colOff>
      <xdr:row>14</xdr:row>
      <xdr:rowOff>6531</xdr:rowOff>
    </xdr:to>
    <mc:AlternateContent xmlns:mc="http://schemas.openxmlformats.org/markup-compatibility/2006">
      <mc:Choice xmlns:a14="http://schemas.microsoft.com/office/drawing/2010/main" Requires="a14">
        <xdr:graphicFrame macro="">
          <xdr:nvGraphicFramePr>
            <xdr:cNvPr id="41" name="Month">
              <a:extLst>
                <a:ext uri="{FF2B5EF4-FFF2-40B4-BE49-F238E27FC236}">
                  <a16:creationId xmlns:a16="http://schemas.microsoft.com/office/drawing/2014/main" id="{246327C6-2C1F-B0C0-7080-4EF0EAD43D28}"/>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2237720" y="2194560"/>
              <a:ext cx="445008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23949</xdr:colOff>
      <xdr:row>14</xdr:row>
      <xdr:rowOff>6531</xdr:rowOff>
    </xdr:from>
    <xdr:to>
      <xdr:col>30</xdr:col>
      <xdr:colOff>32657</xdr:colOff>
      <xdr:row>18</xdr:row>
      <xdr:rowOff>6531</xdr:rowOff>
    </xdr:to>
    <mc:AlternateContent xmlns:mc="http://schemas.openxmlformats.org/markup-compatibility/2006">
      <mc:Choice xmlns:a14="http://schemas.microsoft.com/office/drawing/2010/main" Requires="a14">
        <xdr:graphicFrame macro="">
          <xdr:nvGraphicFramePr>
            <xdr:cNvPr id="42" name="Department">
              <a:extLst>
                <a:ext uri="{FF2B5EF4-FFF2-40B4-BE49-F238E27FC236}">
                  <a16:creationId xmlns:a16="http://schemas.microsoft.com/office/drawing/2014/main" id="{BC2BD76B-77A4-1212-8538-D738858EB95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2237720" y="3337560"/>
              <a:ext cx="445008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NJITH JEYARAMAN" refreshedDate="46197.477247800925" createdVersion="8" refreshedVersion="8" minRefreshableVersion="3" recordCount="415" xr:uid="{B4E8438F-8E71-48CB-A043-802BED5DB7EA}">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20302509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6431FF-A291-48E6-9BE1-3062532CFF01}" name="PT_BudgetVsActual"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25:F32" firstHeaderRow="0"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h="1" x="9"/>
        <item h="1"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2">
    <format dxfId="494">
      <pivotArea type="all" dataOnly="0" outline="0" fieldPosition="0"/>
    </format>
    <format dxfId="493">
      <pivotArea outline="0" collapsedLevelsAreSubtotals="1" fieldPosition="0"/>
    </format>
    <format dxfId="492">
      <pivotArea field="2" type="button" dataOnly="0" labelOnly="1" outline="0" axis="axisRow" fieldPosition="0"/>
    </format>
    <format dxfId="491">
      <pivotArea dataOnly="0" labelOnly="1" outline="0" fieldPosition="0">
        <references count="1">
          <reference field="2" count="0"/>
        </references>
      </pivotArea>
    </format>
    <format dxfId="490">
      <pivotArea dataOnly="0" labelOnly="1" grandRow="1" outline="0" fieldPosition="0"/>
    </format>
    <format dxfId="489">
      <pivotArea dataOnly="0" labelOnly="1" outline="0" fieldPosition="0">
        <references count="1">
          <reference field="4294967294" count="2">
            <x v="0"/>
            <x v="1"/>
          </reference>
        </references>
      </pivotArea>
    </format>
    <format dxfId="488">
      <pivotArea type="all" dataOnly="0" outline="0" fieldPosition="0"/>
    </format>
    <format dxfId="487">
      <pivotArea outline="0" collapsedLevelsAreSubtotals="1" fieldPosition="0"/>
    </format>
    <format dxfId="486">
      <pivotArea field="2" type="button" dataOnly="0" labelOnly="1" outline="0" axis="axisRow" fieldPosition="0"/>
    </format>
    <format dxfId="485">
      <pivotArea dataOnly="0" labelOnly="1" outline="0" fieldPosition="0">
        <references count="1">
          <reference field="2" count="0"/>
        </references>
      </pivotArea>
    </format>
    <format dxfId="484">
      <pivotArea dataOnly="0" labelOnly="1" grandRow="1" outline="0" fieldPosition="0"/>
    </format>
    <format dxfId="483">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9B0B64-2474-4465-90D2-9E3601D3170D}" name="PT_PaymentMethod"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h="1" x="9"/>
        <item h="1"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506">
      <pivotArea type="all" dataOnly="0" outline="0" fieldPosition="0"/>
    </format>
    <format dxfId="505">
      <pivotArea outline="0" collapsedLevelsAreSubtotals="1" fieldPosition="0"/>
    </format>
    <format dxfId="504">
      <pivotArea field="6" type="button" dataOnly="0" labelOnly="1" outline="0" axis="axisRow" fieldPosition="0"/>
    </format>
    <format dxfId="503">
      <pivotArea dataOnly="0" labelOnly="1" outline="0" fieldPosition="0">
        <references count="1">
          <reference field="6" count="0"/>
        </references>
      </pivotArea>
    </format>
    <format dxfId="502">
      <pivotArea dataOnly="0" labelOnly="1" grandRow="1" outline="0" fieldPosition="0"/>
    </format>
    <format dxfId="501">
      <pivotArea dataOnly="0" labelOnly="1" outline="0" axis="axisValues" fieldPosition="0"/>
    </format>
    <format dxfId="500">
      <pivotArea type="all" dataOnly="0" outline="0" fieldPosition="0"/>
    </format>
    <format dxfId="499">
      <pivotArea outline="0" collapsedLevelsAreSubtotals="1" fieldPosition="0"/>
    </format>
    <format dxfId="498">
      <pivotArea field="6" type="button" dataOnly="0" labelOnly="1" outline="0" axis="axisRow" fieldPosition="0"/>
    </format>
    <format dxfId="497">
      <pivotArea dataOnly="0" labelOnly="1" outline="0" fieldPosition="0">
        <references count="1">
          <reference field="6" count="0"/>
        </references>
      </pivotArea>
    </format>
    <format dxfId="496">
      <pivotArea dataOnly="0" labelOnly="1" grandRow="1" outline="0" fieldPosition="0"/>
    </format>
    <format dxfId="49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CCDE8B-C140-4662-883A-9DA6738A11D3}" name="PT_KPI" cacheId="6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P4" firstHeaderRow="0" firstDataRow="1"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h="1" x="0"/>
        <item h="1" x="1"/>
        <item h="1" x="2"/>
        <item h="1" x="3"/>
        <item h="1" x="4"/>
        <item h="1" x="5"/>
        <item h="1" x="6"/>
        <item h="1" x="7"/>
        <item h="1" x="8"/>
        <item h="1" x="9"/>
        <item h="1" x="10"/>
        <item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8">
    <format dxfId="514">
      <pivotArea outline="0" collapsedLevelsAreSubtotals="1" fieldPosition="0"/>
    </format>
    <format dxfId="513">
      <pivotArea outline="0" collapsedLevelsAreSubtotals="1" fieldPosition="0">
        <references count="1">
          <reference field="4294967294" count="1" selected="0">
            <x v="3"/>
          </reference>
        </references>
      </pivotArea>
    </format>
    <format dxfId="512">
      <pivotArea type="all" dataOnly="0" outline="0" fieldPosition="0"/>
    </format>
    <format dxfId="511">
      <pivotArea outline="0" collapsedLevelsAreSubtotals="1" fieldPosition="0"/>
    </format>
    <format dxfId="510">
      <pivotArea dataOnly="0" labelOnly="1" outline="0" fieldPosition="0">
        <references count="1">
          <reference field="4294967294" count="4">
            <x v="0"/>
            <x v="1"/>
            <x v="2"/>
            <x v="3"/>
          </reference>
        </references>
      </pivotArea>
    </format>
    <format dxfId="509">
      <pivotArea type="all" dataOnly="0" outline="0" fieldPosition="0"/>
    </format>
    <format dxfId="508">
      <pivotArea outline="0" collapsedLevelsAreSubtotals="1" fieldPosition="0"/>
    </format>
    <format dxfId="507">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8D5455-18F0-4C6E-A297-7F8AFDF0DC26}" name="PT_ApprovedStatus"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3:L6" firstHeaderRow="0" firstDataRow="1"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h="1" x="9"/>
        <item h="1"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515">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43F4791-4BFC-4AE4-87C1-7AA8540AFC00}" name="PT_MonthlyTrend"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3:H5"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h="1" x="0"/>
        <item h="1" x="1"/>
        <item h="1" x="2"/>
        <item h="1" x="3"/>
        <item h="1" x="4"/>
        <item h="1" x="5"/>
        <item h="1" x="6"/>
        <item h="1" x="7"/>
        <item h="1" x="8"/>
        <item h="1" x="9"/>
        <item h="1" x="10"/>
        <item x="11"/>
        <item t="default"/>
      </items>
    </pivotField>
  </pivotFields>
  <rowFields count="1">
    <field x="12"/>
  </rowFields>
  <rowItems count="2">
    <i>
      <x v="11"/>
    </i>
    <i t="grand">
      <x/>
    </i>
  </rowItems>
  <colItems count="1">
    <i/>
  </colItems>
  <dataFields count="1">
    <dataField name="Sum of Amount (INR)" fld="5" baseField="0" baseItem="0" numFmtId="165"/>
  </dataFields>
  <formats count="12">
    <format dxfId="527">
      <pivotArea type="all" dataOnly="0" outline="0" fieldPosition="0"/>
    </format>
    <format dxfId="526">
      <pivotArea outline="0" collapsedLevelsAreSubtotals="1" fieldPosition="0"/>
    </format>
    <format dxfId="525">
      <pivotArea field="12" type="button" dataOnly="0" labelOnly="1" outline="0" axis="axisRow" fieldPosition="0"/>
    </format>
    <format dxfId="524">
      <pivotArea dataOnly="0" labelOnly="1" outline="0" fieldPosition="0">
        <references count="1">
          <reference field="12" count="0"/>
        </references>
      </pivotArea>
    </format>
    <format dxfId="523">
      <pivotArea dataOnly="0" labelOnly="1" grandRow="1" outline="0" fieldPosition="0"/>
    </format>
    <format dxfId="522">
      <pivotArea dataOnly="0" labelOnly="1" outline="0" axis="axisValues" fieldPosition="0"/>
    </format>
    <format dxfId="521">
      <pivotArea type="all" dataOnly="0" outline="0" fieldPosition="0"/>
    </format>
    <format dxfId="520">
      <pivotArea outline="0" collapsedLevelsAreSubtotals="1" fieldPosition="0"/>
    </format>
    <format dxfId="519">
      <pivotArea field="12" type="button" dataOnly="0" labelOnly="1" outline="0" axis="axisRow" fieldPosition="0"/>
    </format>
    <format dxfId="518">
      <pivotArea dataOnly="0" labelOnly="1" outline="0" fieldPosition="0">
        <references count="1">
          <reference field="12" count="0"/>
        </references>
      </pivotArea>
    </format>
    <format dxfId="517">
      <pivotArea dataOnly="0" labelOnly="1" grandRow="1" outline="0" fieldPosition="0"/>
    </format>
    <format dxfId="5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3C61298-6401-4322-9CA1-21C522111D42}" name="PT_ExpenseByCategory"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h="1" x="9"/>
        <item h="1"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2">
    <format dxfId="539">
      <pivotArea type="all" dataOnly="0" outline="0" fieldPosition="0"/>
    </format>
    <format dxfId="538">
      <pivotArea outline="0" collapsedLevelsAreSubtotals="1" fieldPosition="0"/>
    </format>
    <format dxfId="537">
      <pivotArea field="3" type="button" dataOnly="0" labelOnly="1" outline="0" axis="axisRow" fieldPosition="0"/>
    </format>
    <format dxfId="536">
      <pivotArea dataOnly="0" labelOnly="1" outline="0" fieldPosition="0">
        <references count="1">
          <reference field="3" count="0"/>
        </references>
      </pivotArea>
    </format>
    <format dxfId="535">
      <pivotArea dataOnly="0" labelOnly="1" grandRow="1" outline="0" fieldPosition="0"/>
    </format>
    <format dxfId="534">
      <pivotArea dataOnly="0" labelOnly="1" outline="0" axis="axisValues" fieldPosition="0"/>
    </format>
    <format dxfId="533">
      <pivotArea type="all" dataOnly="0" outline="0" fieldPosition="0"/>
    </format>
    <format dxfId="532">
      <pivotArea outline="0" collapsedLevelsAreSubtotals="1" fieldPosition="0"/>
    </format>
    <format dxfId="531">
      <pivotArea field="3" type="button" dataOnly="0" labelOnly="1" outline="0" axis="axisRow" fieldPosition="0"/>
    </format>
    <format dxfId="530">
      <pivotArea dataOnly="0" labelOnly="1" outline="0" fieldPosition="0">
        <references count="1">
          <reference field="3" count="0"/>
        </references>
      </pivotArea>
    </format>
    <format dxfId="529">
      <pivotArea dataOnly="0" labelOnly="1" grandRow="1" outline="0" fieldPosition="0"/>
    </format>
    <format dxfId="52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DCBB396-B689-48E6-83E0-ED711BBAF57D}" name="PT_ExpenseByDepartment"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h="1" x="9"/>
        <item h="1"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2">
    <format dxfId="551">
      <pivotArea type="all" dataOnly="0" outline="0" fieldPosition="0"/>
    </format>
    <format dxfId="550">
      <pivotArea outline="0" collapsedLevelsAreSubtotals="1" fieldPosition="0"/>
    </format>
    <format dxfId="549">
      <pivotArea field="2" type="button" dataOnly="0" labelOnly="1" outline="0" axis="axisRow" fieldPosition="0"/>
    </format>
    <format dxfId="548">
      <pivotArea dataOnly="0" labelOnly="1" outline="0" fieldPosition="0">
        <references count="1">
          <reference field="2" count="0"/>
        </references>
      </pivotArea>
    </format>
    <format dxfId="547">
      <pivotArea dataOnly="0" labelOnly="1" grandRow="1" outline="0" fieldPosition="0"/>
    </format>
    <format dxfId="546">
      <pivotArea dataOnly="0" labelOnly="1" outline="0" axis="axisValues" fieldPosition="0"/>
    </format>
    <format dxfId="545">
      <pivotArea type="all" dataOnly="0" outline="0" fieldPosition="0"/>
    </format>
    <format dxfId="544">
      <pivotArea outline="0" collapsedLevelsAreSubtotals="1" fieldPosition="0"/>
    </format>
    <format dxfId="543">
      <pivotArea field="2" type="button" dataOnly="0" labelOnly="1" outline="0" axis="axisRow" fieldPosition="0"/>
    </format>
    <format dxfId="542">
      <pivotArea dataOnly="0" labelOnly="1" outline="0" fieldPosition="0">
        <references count="1">
          <reference field="2" count="0"/>
        </references>
      </pivotArea>
    </format>
    <format dxfId="541">
      <pivotArea dataOnly="0" labelOnly="1" grandRow="1" outline="0" fieldPosition="0"/>
    </format>
    <format dxfId="54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8ABDF06-FD28-4837-8587-B15309AAC326}"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2030250997">
      <items count="12">
        <i x="0"/>
        <i x="1"/>
        <i x="2"/>
        <i x="3"/>
        <i x="4"/>
        <i x="5"/>
        <i x="6"/>
        <i x="7"/>
        <i x="8"/>
        <i x="9"/>
        <i x="10"/>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3BBC975F-0307-44AD-BE6C-E687B38DF1C6}"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2030250997">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FCF2F61-27D9-40B3-AAFA-DCF63984F3F0}" cache="Slicer_Month" caption="Month" columnCount="4" style="SlicerStyleLight6" rowHeight="247650"/>
  <slicer name="Department" xr10:uid="{3745AEA2-7306-4672-B83D-F4A0CEB60397}" cache="Slicer_Department" caption="Department" columnCount="6" style="SlicerStyleLight6"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2B4DD2-1A1A-49A1-857E-716CDFDD59ED}" name="tblExpenses" displayName="tblExpenses" ref="A1:M416" totalsRowShown="0" headerRowDxfId="552">
  <autoFilter ref="A1:M416" xr:uid="{B82B4DD2-1A1A-49A1-857E-716CDFDD59ED}"/>
  <tableColumns count="13">
    <tableColumn id="1" xr3:uid="{422DE3BC-B8E0-4FA8-8BE9-E44AC9EC6BD1}" name="Expense ID"/>
    <tableColumn id="2" xr3:uid="{9FB9CA23-8A9B-4B5F-9A9B-0FD1759A74BC}" name="Date" dataDxfId="556"/>
    <tableColumn id="3" xr3:uid="{9CA05752-39DD-430E-9D77-001BD2FB7497}" name="Department"/>
    <tableColumn id="4" xr3:uid="{6D2F69D4-9862-4EF2-AD83-200EE1E18572}" name="Category"/>
    <tableColumn id="5" xr3:uid="{EF1F5C6D-3DD8-43AC-8B9F-7E1CF5A21BD6}" name="Description"/>
    <tableColumn id="6" xr3:uid="{D96A39FB-BEC4-45F9-A96C-CFB40E756D8C}" name="Amount (INR)" dataDxfId="555"/>
    <tableColumn id="7" xr3:uid="{BBB04427-F7A0-431D-B6F3-767D31BB04B5}" name="Payment Method"/>
    <tableColumn id="8" xr3:uid="{C9942B59-A987-4437-97B4-34B151356000}" name="Approved"/>
    <tableColumn id="9" xr3:uid="{05677849-33F9-4622-A7CA-01344D207743}" name="Budget Allocated" dataDxfId="554"/>
    <tableColumn id="10" xr3:uid="{720F289E-22AF-43AF-AB95-13F40986D219}" name="Budget Remaining" dataDxfId="553"/>
    <tableColumn id="11" xr3:uid="{3C28D6F0-640E-4276-BF7F-06BC852F00BB}" name="Vendor Name"/>
    <tableColumn id="12" xr3:uid="{F74691BE-DBB1-4402-98A4-6F2F20AE1F33}" name="Invoice Number"/>
    <tableColumn id="13" xr3:uid="{8E81A059-21D1-448B-A5E5-9B396BBEDBD5}"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0A2A2-B933-412F-9A61-8A1ECB611353}">
  <sheetPr codeName="Sheet2">
    <pageSetUpPr fitToPage="1"/>
  </sheetPr>
  <dimension ref="A1:AF29"/>
  <sheetViews>
    <sheetView showGridLines="0" tabSelected="1" zoomScale="70" zoomScaleNormal="70" workbookViewId="0"/>
  </sheetViews>
  <sheetFormatPr defaultRowHeight="13.8" x14ac:dyDescent="0.3"/>
  <cols>
    <col min="1" max="30" width="8.109375" style="11" customWidth="1"/>
    <col min="31" max="31" width="8.88671875" style="11"/>
    <col min="32" max="33" width="0" style="11" hidden="1" customWidth="1"/>
    <col min="34" max="16384" width="8.88671875" style="11"/>
  </cols>
  <sheetData>
    <row r="1" spans="1:32" ht="22.05" customHeight="1" x14ac:dyDescent="0.3">
      <c r="A1" s="1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row>
    <row r="2" spans="1:32" ht="22.05" customHeight="1" x14ac:dyDescent="0.3">
      <c r="A2" s="15"/>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F2" s="12">
        <f>IFERROR(GETPIVOTDATA("Sum of Amount (INR)",Pivot!$M$3),0)</f>
        <v>1538547</v>
      </c>
    </row>
    <row r="3" spans="1:32" ht="22.05" customHeight="1" x14ac:dyDescent="0.3">
      <c r="A3" s="15"/>
      <c r="B3" s="15"/>
      <c r="C3" s="15"/>
      <c r="D3" s="15"/>
      <c r="E3" s="15"/>
      <c r="F3" s="15"/>
      <c r="G3" s="15"/>
      <c r="H3" s="15"/>
      <c r="I3" s="15"/>
      <c r="J3" s="15"/>
      <c r="K3" s="15"/>
      <c r="L3" s="15"/>
      <c r="M3" s="15"/>
      <c r="N3" s="15"/>
      <c r="O3" s="15"/>
      <c r="P3" s="15"/>
      <c r="Q3" s="15"/>
      <c r="R3" s="15"/>
      <c r="S3" s="15"/>
      <c r="T3" s="15"/>
      <c r="U3" s="15"/>
      <c r="V3" s="15"/>
      <c r="W3" s="15"/>
      <c r="X3" s="15"/>
      <c r="Y3" s="15"/>
      <c r="Z3" s="15"/>
      <c r="AA3" s="15"/>
      <c r="AB3" s="15"/>
      <c r="AC3" s="15"/>
      <c r="AD3" s="15"/>
      <c r="AF3" s="12">
        <f>IFERROR(GETPIVOTDATA("Sum of Budget Allocated",Pivot!$M$3),0)</f>
        <v>1873130</v>
      </c>
    </row>
    <row r="4" spans="1:32" ht="18" customHeight="1" x14ac:dyDescent="0.3">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F4" s="12">
        <f>IFERROR(GETPIVOTDATA("Sum of Budget Remaining",Pivot!$M$3),0)</f>
        <v>334583</v>
      </c>
    </row>
    <row r="5" spans="1:32" ht="18" customHeight="1" x14ac:dyDescent="0.3">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F5" s="13">
        <f>IFERROR(GETPIVOTDATA("Count of Expense ID",Pivot!$M$3),0)</f>
        <v>35</v>
      </c>
    </row>
    <row r="6" spans="1:32" ht="18" customHeight="1" x14ac:dyDescent="0.3">
      <c r="A6" s="1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F6" s="14">
        <f>IFERROR(GETPIVOTDATA("Count of Expense ID",Pivot!$J$3,"Approved","Yes")/AF5,0)</f>
        <v>0.88571428571428568</v>
      </c>
    </row>
    <row r="7" spans="1:32" ht="18" customHeight="1" x14ac:dyDescent="0.3">
      <c r="A7" s="15"/>
      <c r="B7" s="15"/>
      <c r="C7" s="15"/>
      <c r="D7" s="15"/>
      <c r="E7" s="15"/>
      <c r="F7" s="15"/>
      <c r="G7" s="15"/>
      <c r="H7" s="15"/>
      <c r="I7" s="15"/>
      <c r="J7" s="15"/>
      <c r="K7" s="15"/>
      <c r="L7" s="15"/>
      <c r="M7" s="15"/>
      <c r="N7" s="15"/>
      <c r="O7" s="15"/>
      <c r="P7" s="15"/>
      <c r="Q7" s="15"/>
      <c r="R7" s="15"/>
      <c r="S7" s="15"/>
      <c r="T7" s="15"/>
      <c r="U7" s="15"/>
      <c r="V7" s="15"/>
      <c r="W7" s="15"/>
      <c r="X7" s="15"/>
      <c r="Y7" s="15"/>
      <c r="Z7" s="15"/>
      <c r="AA7" s="15"/>
      <c r="AB7" s="15"/>
      <c r="AC7" s="15"/>
      <c r="AD7" s="15"/>
      <c r="AF7" s="12">
        <f>IFERROR(AF2/AF5,0)</f>
        <v>43958.485714285714</v>
      </c>
    </row>
    <row r="8" spans="1:32" ht="18" customHeight="1" x14ac:dyDescent="0.3">
      <c r="A8" s="15"/>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row>
    <row r="9" spans="1:32" ht="18" customHeight="1" x14ac:dyDescent="0.3">
      <c r="A9" s="15"/>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row>
    <row r="10" spans="1:32" ht="18" customHeight="1" x14ac:dyDescent="0.3">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row>
    <row r="11" spans="1:32" ht="18" customHeight="1" x14ac:dyDescent="0.3">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row>
    <row r="12" spans="1:32" ht="18" customHeight="1" x14ac:dyDescent="0.3">
      <c r="A12" s="15"/>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row>
    <row r="13" spans="1:32" ht="18" customHeight="1" x14ac:dyDescent="0.3">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row>
    <row r="14" spans="1:32" ht="18" customHeight="1" x14ac:dyDescent="0.3">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row>
    <row r="15" spans="1:32" ht="18" customHeight="1" x14ac:dyDescent="0.3">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row>
    <row r="16" spans="1:32" ht="18" customHeight="1" x14ac:dyDescent="0.3">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row>
    <row r="17" spans="1:30" ht="18" customHeight="1" x14ac:dyDescent="0.3">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row>
    <row r="18" spans="1:30" ht="18" customHeight="1" x14ac:dyDescent="0.3">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row>
    <row r="19" spans="1:30" ht="18" customHeight="1" x14ac:dyDescent="0.3">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row>
    <row r="20" spans="1:30" ht="18" customHeight="1" x14ac:dyDescent="0.3">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row>
    <row r="21" spans="1:30" ht="18" customHeight="1" x14ac:dyDescent="0.3">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row>
    <row r="22" spans="1:30" ht="18" customHeight="1" x14ac:dyDescent="0.3">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1:30" ht="18" customHeight="1" x14ac:dyDescent="0.3">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row>
    <row r="24" spans="1:30" ht="18" customHeight="1" x14ac:dyDescent="0.3">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1:30" ht="18" customHeight="1" x14ac:dyDescent="0.3">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1:30" ht="18" customHeight="1" x14ac:dyDescent="0.3">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1:30" ht="18" customHeight="1" x14ac:dyDescent="0.3">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row r="28" spans="1:30" ht="18" customHeight="1" x14ac:dyDescent="0.3">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row>
    <row r="29" spans="1:30" ht="18" customHeight="1" x14ac:dyDescent="0.3">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workbookViewId="0">
      <selection activeCell="E19" sqref="E19"/>
    </sheetView>
  </sheetViews>
  <sheetFormatPr defaultRowHeight="14.4" x14ac:dyDescent="0.3"/>
  <cols>
    <col min="1" max="1" width="12.21875" bestFit="1" customWidth="1"/>
    <col min="2" max="2" width="11.5546875" bestFit="1" customWidth="1"/>
    <col min="3" max="3" width="13.21875" bestFit="1" customWidth="1"/>
    <col min="4" max="4" width="13.109375" bestFit="1" customWidth="1"/>
    <col min="5" max="5" width="31.21875" bestFit="1" customWidth="1"/>
    <col min="6" max="6" width="14.33203125" bestFit="1" customWidth="1"/>
    <col min="7" max="7" width="17.21875" bestFit="1" customWidth="1"/>
    <col min="8" max="8" width="11.21875" bestFit="1" customWidth="1"/>
    <col min="9" max="9" width="17.44140625" bestFit="1" customWidth="1"/>
    <col min="10" max="10" width="18.21875" bestFit="1" customWidth="1"/>
    <col min="11" max="11" width="17.5546875" bestFit="1" customWidth="1"/>
    <col min="12" max="12" width="16.44140625" bestFit="1" customWidth="1"/>
    <col min="13" max="13" width="8.33203125" bestFit="1" customWidth="1"/>
  </cols>
  <sheetData>
    <row r="1" spans="1:13" s="3" customFormat="1" x14ac:dyDescent="0.3">
      <c r="A1" s="3" t="s">
        <v>0</v>
      </c>
      <c r="B1" s="3" t="s">
        <v>1</v>
      </c>
      <c r="C1" s="3" t="s">
        <v>2</v>
      </c>
      <c r="D1" s="3" t="s">
        <v>3</v>
      </c>
      <c r="E1" s="3" t="s">
        <v>4</v>
      </c>
      <c r="F1" s="3" t="s">
        <v>5</v>
      </c>
      <c r="G1" s="3" t="s">
        <v>6</v>
      </c>
      <c r="H1" s="3" t="s">
        <v>7</v>
      </c>
      <c r="I1" s="3" t="s">
        <v>8</v>
      </c>
      <c r="J1" s="3" t="s">
        <v>9</v>
      </c>
      <c r="K1" s="3" t="s">
        <v>10</v>
      </c>
      <c r="L1" s="3" t="s">
        <v>11</v>
      </c>
      <c r="M1" s="3" t="s">
        <v>918</v>
      </c>
    </row>
    <row r="2" spans="1:13" x14ac:dyDescent="0.3">
      <c r="A2" t="s">
        <v>12</v>
      </c>
      <c r="B2" s="1">
        <v>45682</v>
      </c>
      <c r="C2" t="s">
        <v>13</v>
      </c>
      <c r="D2" t="s">
        <v>14</v>
      </c>
      <c r="E2" t="s">
        <v>15</v>
      </c>
      <c r="F2" s="2">
        <v>7099</v>
      </c>
      <c r="G2" t="s">
        <v>16</v>
      </c>
      <c r="H2" t="s">
        <v>17</v>
      </c>
      <c r="I2" s="2">
        <v>8386</v>
      </c>
      <c r="J2" s="2">
        <v>1287</v>
      </c>
      <c r="K2" t="s">
        <v>18</v>
      </c>
      <c r="L2" t="s">
        <v>19</v>
      </c>
      <c r="M2" t="str">
        <f>TEXT(tblExpenses[[#This Row],[Date]],"mmm")</f>
        <v>Jan</v>
      </c>
    </row>
    <row r="3" spans="1:13" x14ac:dyDescent="0.3">
      <c r="A3" t="s">
        <v>20</v>
      </c>
      <c r="B3" s="1">
        <v>45677</v>
      </c>
      <c r="C3" t="s">
        <v>13</v>
      </c>
      <c r="D3" t="s">
        <v>21</v>
      </c>
      <c r="E3" t="s">
        <v>22</v>
      </c>
      <c r="F3" s="2">
        <v>37909</v>
      </c>
      <c r="G3" t="s">
        <v>23</v>
      </c>
      <c r="H3" t="s">
        <v>17</v>
      </c>
      <c r="I3" s="2">
        <v>39147</v>
      </c>
      <c r="J3" s="2">
        <v>1238</v>
      </c>
      <c r="K3" t="s">
        <v>18</v>
      </c>
      <c r="L3" t="s">
        <v>24</v>
      </c>
      <c r="M3" t="str">
        <f>TEXT(tblExpenses[[#This Row],[Date]],"mmm")</f>
        <v>Jan</v>
      </c>
    </row>
    <row r="4" spans="1:13" x14ac:dyDescent="0.3">
      <c r="A4" t="s">
        <v>25</v>
      </c>
      <c r="B4" s="1">
        <v>45665</v>
      </c>
      <c r="C4" t="s">
        <v>13</v>
      </c>
      <c r="D4" t="s">
        <v>26</v>
      </c>
      <c r="E4" t="s">
        <v>27</v>
      </c>
      <c r="F4" s="2">
        <v>5729</v>
      </c>
      <c r="G4" t="s">
        <v>16</v>
      </c>
      <c r="H4" t="s">
        <v>17</v>
      </c>
      <c r="I4" s="2">
        <v>8391</v>
      </c>
      <c r="J4" s="2">
        <v>2662</v>
      </c>
      <c r="K4" t="s">
        <v>28</v>
      </c>
      <c r="L4" t="s">
        <v>29</v>
      </c>
      <c r="M4" t="str">
        <f>TEXT(tblExpenses[[#This Row],[Date]],"mmm")</f>
        <v>Jan</v>
      </c>
    </row>
    <row r="5" spans="1:13" x14ac:dyDescent="0.3">
      <c r="A5" t="s">
        <v>30</v>
      </c>
      <c r="B5" s="1">
        <v>45660</v>
      </c>
      <c r="C5" t="s">
        <v>21</v>
      </c>
      <c r="D5" t="s">
        <v>31</v>
      </c>
      <c r="E5" t="s">
        <v>32</v>
      </c>
      <c r="F5" s="2">
        <v>21974</v>
      </c>
      <c r="G5" t="s">
        <v>16</v>
      </c>
      <c r="H5" t="s">
        <v>17</v>
      </c>
      <c r="I5" s="2">
        <v>22502</v>
      </c>
      <c r="J5" s="2">
        <v>528</v>
      </c>
      <c r="K5" t="s">
        <v>33</v>
      </c>
      <c r="L5" t="s">
        <v>34</v>
      </c>
      <c r="M5" t="str">
        <f>TEXT(tblExpenses[[#This Row],[Date]],"mmm")</f>
        <v>Jan</v>
      </c>
    </row>
    <row r="6" spans="1:13" x14ac:dyDescent="0.3">
      <c r="A6" t="s">
        <v>35</v>
      </c>
      <c r="B6" s="1">
        <v>45682</v>
      </c>
      <c r="C6" t="s">
        <v>21</v>
      </c>
      <c r="D6" t="s">
        <v>36</v>
      </c>
      <c r="E6" t="s">
        <v>37</v>
      </c>
      <c r="F6" s="2">
        <v>70564</v>
      </c>
      <c r="G6" t="s">
        <v>38</v>
      </c>
      <c r="H6" t="s">
        <v>17</v>
      </c>
      <c r="I6" s="2">
        <v>77440</v>
      </c>
      <c r="J6" s="2">
        <v>6876</v>
      </c>
      <c r="K6" t="s">
        <v>39</v>
      </c>
      <c r="L6" t="s">
        <v>40</v>
      </c>
      <c r="M6" t="str">
        <f>TEXT(tblExpenses[[#This Row],[Date]],"mmm")</f>
        <v>Jan</v>
      </c>
    </row>
    <row r="7" spans="1:13" x14ac:dyDescent="0.3">
      <c r="A7" t="s">
        <v>41</v>
      </c>
      <c r="B7" s="1">
        <v>45681</v>
      </c>
      <c r="C7" t="s">
        <v>21</v>
      </c>
      <c r="D7" t="s">
        <v>14</v>
      </c>
      <c r="E7" t="s">
        <v>42</v>
      </c>
      <c r="F7" s="2">
        <v>23713</v>
      </c>
      <c r="G7" t="s">
        <v>23</v>
      </c>
      <c r="H7" t="s">
        <v>43</v>
      </c>
      <c r="I7" s="2">
        <v>28542</v>
      </c>
      <c r="J7" s="2">
        <v>4829</v>
      </c>
      <c r="K7" t="s">
        <v>39</v>
      </c>
      <c r="L7" t="s">
        <v>44</v>
      </c>
      <c r="M7" t="str">
        <f>TEXT(tblExpenses[[#This Row],[Date]],"mmm")</f>
        <v>Jan</v>
      </c>
    </row>
    <row r="8" spans="1:13" x14ac:dyDescent="0.3">
      <c r="A8" t="s">
        <v>45</v>
      </c>
      <c r="B8" s="1">
        <v>45685</v>
      </c>
      <c r="C8" t="s">
        <v>46</v>
      </c>
      <c r="D8" t="s">
        <v>36</v>
      </c>
      <c r="E8" t="s">
        <v>47</v>
      </c>
      <c r="F8" s="2">
        <v>67515</v>
      </c>
      <c r="G8" t="s">
        <v>23</v>
      </c>
      <c r="H8" t="s">
        <v>17</v>
      </c>
      <c r="I8" s="2">
        <v>87309</v>
      </c>
      <c r="J8" s="2">
        <v>19794</v>
      </c>
      <c r="K8" t="s">
        <v>39</v>
      </c>
      <c r="L8" t="s">
        <v>48</v>
      </c>
      <c r="M8" t="str">
        <f>TEXT(tblExpenses[[#This Row],[Date]],"mmm")</f>
        <v>Jan</v>
      </c>
    </row>
    <row r="9" spans="1:13" x14ac:dyDescent="0.3">
      <c r="A9" t="s">
        <v>49</v>
      </c>
      <c r="B9" s="1">
        <v>45660</v>
      </c>
      <c r="C9" t="s">
        <v>46</v>
      </c>
      <c r="D9" t="s">
        <v>31</v>
      </c>
      <c r="E9" t="s">
        <v>50</v>
      </c>
      <c r="F9" s="2">
        <v>30644</v>
      </c>
      <c r="G9" t="s">
        <v>51</v>
      </c>
      <c r="H9" t="s">
        <v>17</v>
      </c>
      <c r="I9" s="2">
        <v>44207</v>
      </c>
      <c r="J9" s="2">
        <v>13563</v>
      </c>
      <c r="K9" t="s">
        <v>39</v>
      </c>
      <c r="L9" t="s">
        <v>52</v>
      </c>
      <c r="M9" t="str">
        <f>TEXT(tblExpenses[[#This Row],[Date]],"mmm")</f>
        <v>Jan</v>
      </c>
    </row>
    <row r="10" spans="1:13" x14ac:dyDescent="0.3">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x14ac:dyDescent="0.3">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x14ac:dyDescent="0.3">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x14ac:dyDescent="0.3">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x14ac:dyDescent="0.3">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x14ac:dyDescent="0.3">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x14ac:dyDescent="0.3">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x14ac:dyDescent="0.3">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x14ac:dyDescent="0.3">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x14ac:dyDescent="0.3">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x14ac:dyDescent="0.3">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x14ac:dyDescent="0.3">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x14ac:dyDescent="0.3">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x14ac:dyDescent="0.3">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x14ac:dyDescent="0.3">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x14ac:dyDescent="0.3">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x14ac:dyDescent="0.3">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x14ac:dyDescent="0.3">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x14ac:dyDescent="0.3">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x14ac:dyDescent="0.3">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x14ac:dyDescent="0.3">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x14ac:dyDescent="0.3">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x14ac:dyDescent="0.3">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x14ac:dyDescent="0.3">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x14ac:dyDescent="0.3">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x14ac:dyDescent="0.3">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x14ac:dyDescent="0.3">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x14ac:dyDescent="0.3">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x14ac:dyDescent="0.3">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x14ac:dyDescent="0.3">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x14ac:dyDescent="0.3">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x14ac:dyDescent="0.3">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x14ac:dyDescent="0.3">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x14ac:dyDescent="0.3">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x14ac:dyDescent="0.3">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x14ac:dyDescent="0.3">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x14ac:dyDescent="0.3">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x14ac:dyDescent="0.3">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x14ac:dyDescent="0.3">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x14ac:dyDescent="0.3">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x14ac:dyDescent="0.3">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x14ac:dyDescent="0.3">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x14ac:dyDescent="0.3">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x14ac:dyDescent="0.3">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x14ac:dyDescent="0.3">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x14ac:dyDescent="0.3">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x14ac:dyDescent="0.3">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x14ac:dyDescent="0.3">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x14ac:dyDescent="0.3">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x14ac:dyDescent="0.3">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x14ac:dyDescent="0.3">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x14ac:dyDescent="0.3">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x14ac:dyDescent="0.3">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x14ac:dyDescent="0.3">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x14ac:dyDescent="0.3">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x14ac:dyDescent="0.3">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x14ac:dyDescent="0.3">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x14ac:dyDescent="0.3">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x14ac:dyDescent="0.3">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x14ac:dyDescent="0.3">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x14ac:dyDescent="0.3">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x14ac:dyDescent="0.3">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x14ac:dyDescent="0.3">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x14ac:dyDescent="0.3">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x14ac:dyDescent="0.3">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x14ac:dyDescent="0.3">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x14ac:dyDescent="0.3">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x14ac:dyDescent="0.3">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x14ac:dyDescent="0.3">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x14ac:dyDescent="0.3">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x14ac:dyDescent="0.3">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x14ac:dyDescent="0.3">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x14ac:dyDescent="0.3">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x14ac:dyDescent="0.3">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x14ac:dyDescent="0.3">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x14ac:dyDescent="0.3">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x14ac:dyDescent="0.3">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x14ac:dyDescent="0.3">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x14ac:dyDescent="0.3">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x14ac:dyDescent="0.3">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x14ac:dyDescent="0.3">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x14ac:dyDescent="0.3">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x14ac:dyDescent="0.3">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x14ac:dyDescent="0.3">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x14ac:dyDescent="0.3">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x14ac:dyDescent="0.3">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x14ac:dyDescent="0.3">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x14ac:dyDescent="0.3">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x14ac:dyDescent="0.3">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x14ac:dyDescent="0.3">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x14ac:dyDescent="0.3">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x14ac:dyDescent="0.3">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x14ac:dyDescent="0.3">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x14ac:dyDescent="0.3">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x14ac:dyDescent="0.3">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x14ac:dyDescent="0.3">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x14ac:dyDescent="0.3">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x14ac:dyDescent="0.3">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x14ac:dyDescent="0.3">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x14ac:dyDescent="0.3">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x14ac:dyDescent="0.3">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x14ac:dyDescent="0.3">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x14ac:dyDescent="0.3">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x14ac:dyDescent="0.3">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x14ac:dyDescent="0.3">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x14ac:dyDescent="0.3">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x14ac:dyDescent="0.3">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x14ac:dyDescent="0.3">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x14ac:dyDescent="0.3">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x14ac:dyDescent="0.3">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x14ac:dyDescent="0.3">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x14ac:dyDescent="0.3">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x14ac:dyDescent="0.3">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x14ac:dyDescent="0.3">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x14ac:dyDescent="0.3">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x14ac:dyDescent="0.3">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x14ac:dyDescent="0.3">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x14ac:dyDescent="0.3">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x14ac:dyDescent="0.3">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x14ac:dyDescent="0.3">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x14ac:dyDescent="0.3">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x14ac:dyDescent="0.3">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x14ac:dyDescent="0.3">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x14ac:dyDescent="0.3">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x14ac:dyDescent="0.3">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x14ac:dyDescent="0.3">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x14ac:dyDescent="0.3">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x14ac:dyDescent="0.3">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x14ac:dyDescent="0.3">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x14ac:dyDescent="0.3">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x14ac:dyDescent="0.3">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x14ac:dyDescent="0.3">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x14ac:dyDescent="0.3">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x14ac:dyDescent="0.3">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x14ac:dyDescent="0.3">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x14ac:dyDescent="0.3">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x14ac:dyDescent="0.3">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x14ac:dyDescent="0.3">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x14ac:dyDescent="0.3">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x14ac:dyDescent="0.3">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x14ac:dyDescent="0.3">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x14ac:dyDescent="0.3">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x14ac:dyDescent="0.3">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x14ac:dyDescent="0.3">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x14ac:dyDescent="0.3">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x14ac:dyDescent="0.3">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x14ac:dyDescent="0.3">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x14ac:dyDescent="0.3">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x14ac:dyDescent="0.3">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x14ac:dyDescent="0.3">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x14ac:dyDescent="0.3">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x14ac:dyDescent="0.3">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x14ac:dyDescent="0.3">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x14ac:dyDescent="0.3">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x14ac:dyDescent="0.3">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x14ac:dyDescent="0.3">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x14ac:dyDescent="0.3">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x14ac:dyDescent="0.3">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x14ac:dyDescent="0.3">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x14ac:dyDescent="0.3">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x14ac:dyDescent="0.3">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x14ac:dyDescent="0.3">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x14ac:dyDescent="0.3">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x14ac:dyDescent="0.3">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x14ac:dyDescent="0.3">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x14ac:dyDescent="0.3">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x14ac:dyDescent="0.3">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x14ac:dyDescent="0.3">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x14ac:dyDescent="0.3">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x14ac:dyDescent="0.3">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x14ac:dyDescent="0.3">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x14ac:dyDescent="0.3">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x14ac:dyDescent="0.3">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x14ac:dyDescent="0.3">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x14ac:dyDescent="0.3">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x14ac:dyDescent="0.3">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x14ac:dyDescent="0.3">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x14ac:dyDescent="0.3">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x14ac:dyDescent="0.3">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x14ac:dyDescent="0.3">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x14ac:dyDescent="0.3">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x14ac:dyDescent="0.3">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x14ac:dyDescent="0.3">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x14ac:dyDescent="0.3">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x14ac:dyDescent="0.3">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x14ac:dyDescent="0.3">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x14ac:dyDescent="0.3">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x14ac:dyDescent="0.3">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x14ac:dyDescent="0.3">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x14ac:dyDescent="0.3">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x14ac:dyDescent="0.3">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x14ac:dyDescent="0.3">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x14ac:dyDescent="0.3">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x14ac:dyDescent="0.3">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x14ac:dyDescent="0.3">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x14ac:dyDescent="0.3">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x14ac:dyDescent="0.3">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x14ac:dyDescent="0.3">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x14ac:dyDescent="0.3">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x14ac:dyDescent="0.3">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x14ac:dyDescent="0.3">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x14ac:dyDescent="0.3">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x14ac:dyDescent="0.3">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x14ac:dyDescent="0.3">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x14ac:dyDescent="0.3">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x14ac:dyDescent="0.3">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x14ac:dyDescent="0.3">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x14ac:dyDescent="0.3">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x14ac:dyDescent="0.3">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x14ac:dyDescent="0.3">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x14ac:dyDescent="0.3">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x14ac:dyDescent="0.3">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x14ac:dyDescent="0.3">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x14ac:dyDescent="0.3">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x14ac:dyDescent="0.3">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x14ac:dyDescent="0.3">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x14ac:dyDescent="0.3">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x14ac:dyDescent="0.3">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x14ac:dyDescent="0.3">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x14ac:dyDescent="0.3">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x14ac:dyDescent="0.3">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x14ac:dyDescent="0.3">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x14ac:dyDescent="0.3">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x14ac:dyDescent="0.3">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x14ac:dyDescent="0.3">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x14ac:dyDescent="0.3">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x14ac:dyDescent="0.3">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x14ac:dyDescent="0.3">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x14ac:dyDescent="0.3">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x14ac:dyDescent="0.3">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x14ac:dyDescent="0.3">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x14ac:dyDescent="0.3">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x14ac:dyDescent="0.3">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x14ac:dyDescent="0.3">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x14ac:dyDescent="0.3">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x14ac:dyDescent="0.3">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x14ac:dyDescent="0.3">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x14ac:dyDescent="0.3">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x14ac:dyDescent="0.3">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x14ac:dyDescent="0.3">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x14ac:dyDescent="0.3">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x14ac:dyDescent="0.3">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x14ac:dyDescent="0.3">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x14ac:dyDescent="0.3">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x14ac:dyDescent="0.3">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x14ac:dyDescent="0.3">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x14ac:dyDescent="0.3">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x14ac:dyDescent="0.3">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x14ac:dyDescent="0.3">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x14ac:dyDescent="0.3">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x14ac:dyDescent="0.3">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x14ac:dyDescent="0.3">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x14ac:dyDescent="0.3">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x14ac:dyDescent="0.3">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x14ac:dyDescent="0.3">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x14ac:dyDescent="0.3">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x14ac:dyDescent="0.3">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x14ac:dyDescent="0.3">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x14ac:dyDescent="0.3">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x14ac:dyDescent="0.3">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x14ac:dyDescent="0.3">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x14ac:dyDescent="0.3">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x14ac:dyDescent="0.3">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x14ac:dyDescent="0.3">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x14ac:dyDescent="0.3">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x14ac:dyDescent="0.3">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x14ac:dyDescent="0.3">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x14ac:dyDescent="0.3">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x14ac:dyDescent="0.3">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x14ac:dyDescent="0.3">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x14ac:dyDescent="0.3">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x14ac:dyDescent="0.3">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x14ac:dyDescent="0.3">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x14ac:dyDescent="0.3">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x14ac:dyDescent="0.3">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x14ac:dyDescent="0.3">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x14ac:dyDescent="0.3">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x14ac:dyDescent="0.3">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x14ac:dyDescent="0.3">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x14ac:dyDescent="0.3">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x14ac:dyDescent="0.3">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x14ac:dyDescent="0.3">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x14ac:dyDescent="0.3">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x14ac:dyDescent="0.3">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x14ac:dyDescent="0.3">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x14ac:dyDescent="0.3">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x14ac:dyDescent="0.3">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x14ac:dyDescent="0.3">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x14ac:dyDescent="0.3">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x14ac:dyDescent="0.3">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x14ac:dyDescent="0.3">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x14ac:dyDescent="0.3">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x14ac:dyDescent="0.3">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x14ac:dyDescent="0.3">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x14ac:dyDescent="0.3">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x14ac:dyDescent="0.3">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x14ac:dyDescent="0.3">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x14ac:dyDescent="0.3">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x14ac:dyDescent="0.3">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x14ac:dyDescent="0.3">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x14ac:dyDescent="0.3">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x14ac:dyDescent="0.3">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x14ac:dyDescent="0.3">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x14ac:dyDescent="0.3">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x14ac:dyDescent="0.3">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x14ac:dyDescent="0.3">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x14ac:dyDescent="0.3">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x14ac:dyDescent="0.3">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x14ac:dyDescent="0.3">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x14ac:dyDescent="0.3">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x14ac:dyDescent="0.3">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x14ac:dyDescent="0.3">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x14ac:dyDescent="0.3">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x14ac:dyDescent="0.3">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x14ac:dyDescent="0.3">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x14ac:dyDescent="0.3">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x14ac:dyDescent="0.3">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x14ac:dyDescent="0.3">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x14ac:dyDescent="0.3">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x14ac:dyDescent="0.3">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x14ac:dyDescent="0.3">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x14ac:dyDescent="0.3">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x14ac:dyDescent="0.3">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x14ac:dyDescent="0.3">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x14ac:dyDescent="0.3">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x14ac:dyDescent="0.3">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x14ac:dyDescent="0.3">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x14ac:dyDescent="0.3">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x14ac:dyDescent="0.3">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x14ac:dyDescent="0.3">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x14ac:dyDescent="0.3">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x14ac:dyDescent="0.3">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x14ac:dyDescent="0.3">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x14ac:dyDescent="0.3">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x14ac:dyDescent="0.3">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x14ac:dyDescent="0.3">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x14ac:dyDescent="0.3">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x14ac:dyDescent="0.3">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x14ac:dyDescent="0.3">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x14ac:dyDescent="0.3">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x14ac:dyDescent="0.3">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x14ac:dyDescent="0.3">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x14ac:dyDescent="0.3">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x14ac:dyDescent="0.3">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x14ac:dyDescent="0.3">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x14ac:dyDescent="0.3">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x14ac:dyDescent="0.3">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x14ac:dyDescent="0.3">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x14ac:dyDescent="0.3">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x14ac:dyDescent="0.3">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x14ac:dyDescent="0.3">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x14ac:dyDescent="0.3">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x14ac:dyDescent="0.3">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x14ac:dyDescent="0.3">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x14ac:dyDescent="0.3">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x14ac:dyDescent="0.3">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x14ac:dyDescent="0.3">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x14ac:dyDescent="0.3">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x14ac:dyDescent="0.3">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x14ac:dyDescent="0.3">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x14ac:dyDescent="0.3">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x14ac:dyDescent="0.3">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x14ac:dyDescent="0.3">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x14ac:dyDescent="0.3">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x14ac:dyDescent="0.3">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x14ac:dyDescent="0.3">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x14ac:dyDescent="0.3">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x14ac:dyDescent="0.3">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x14ac:dyDescent="0.3">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x14ac:dyDescent="0.3">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x14ac:dyDescent="0.3">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x14ac:dyDescent="0.3">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x14ac:dyDescent="0.3">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x14ac:dyDescent="0.3">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x14ac:dyDescent="0.3">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x14ac:dyDescent="0.3">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x14ac:dyDescent="0.3">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x14ac:dyDescent="0.3">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x14ac:dyDescent="0.3">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x14ac:dyDescent="0.3">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x14ac:dyDescent="0.3">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x14ac:dyDescent="0.3">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x14ac:dyDescent="0.3">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x14ac:dyDescent="0.3">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x14ac:dyDescent="0.3">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x14ac:dyDescent="0.3">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x14ac:dyDescent="0.3">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x14ac:dyDescent="0.3">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x14ac:dyDescent="0.3">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x14ac:dyDescent="0.3">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x14ac:dyDescent="0.3">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x14ac:dyDescent="0.3">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x14ac:dyDescent="0.3">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x14ac:dyDescent="0.3">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x14ac:dyDescent="0.3">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x14ac:dyDescent="0.3">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x14ac:dyDescent="0.3">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x14ac:dyDescent="0.3">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x14ac:dyDescent="0.3">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x14ac:dyDescent="0.3">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x14ac:dyDescent="0.3">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x14ac:dyDescent="0.3">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x14ac:dyDescent="0.3">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x14ac:dyDescent="0.3">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x14ac:dyDescent="0.3">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x14ac:dyDescent="0.3">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x14ac:dyDescent="0.3">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38EBA-7986-403F-8897-3D6D0552D243}">
  <sheetPr codeName="Sheet3"/>
  <dimension ref="A3:P62"/>
  <sheetViews>
    <sheetView workbookViewId="0"/>
  </sheetViews>
  <sheetFormatPr defaultRowHeight="14.4" x14ac:dyDescent="0.3"/>
  <cols>
    <col min="1" max="1" width="17.6640625" bestFit="1" customWidth="1"/>
    <col min="2" max="2" width="19" bestFit="1" customWidth="1"/>
    <col min="4" max="4" width="13.44140625" bestFit="1" customWidth="1"/>
    <col min="5" max="5" width="11.88671875" bestFit="1" customWidth="1"/>
    <col min="6" max="6" width="22.33203125" bestFit="1" customWidth="1"/>
    <col min="7" max="7" width="10.88671875" bestFit="1" customWidth="1"/>
    <col min="8" max="8" width="19" bestFit="1" customWidth="1"/>
    <col min="10" max="10" width="11.21875" bestFit="1" customWidth="1"/>
    <col min="11" max="11" width="18.33203125" bestFit="1" customWidth="1"/>
    <col min="12" max="12" width="17.33203125" bestFit="1" customWidth="1"/>
    <col min="13" max="13" width="19" bestFit="1" customWidth="1"/>
    <col min="14" max="14" width="22.33203125" bestFit="1" customWidth="1"/>
    <col min="15" max="15" width="23.33203125" bestFit="1" customWidth="1"/>
    <col min="16" max="16" width="18.44140625" bestFit="1" customWidth="1"/>
  </cols>
  <sheetData>
    <row r="3" spans="1:16" x14ac:dyDescent="0.3">
      <c r="A3" s="5" t="s">
        <v>2</v>
      </c>
      <c r="B3" s="6" t="s">
        <v>920</v>
      </c>
      <c r="D3" s="5" t="s">
        <v>3</v>
      </c>
      <c r="E3" s="6" t="s">
        <v>920</v>
      </c>
      <c r="G3" s="5" t="s">
        <v>918</v>
      </c>
      <c r="H3" s="6" t="s">
        <v>920</v>
      </c>
      <c r="J3" s="4" t="s">
        <v>7</v>
      </c>
      <c r="K3" t="s">
        <v>920</v>
      </c>
      <c r="L3" t="s">
        <v>922</v>
      </c>
      <c r="M3" s="6" t="s">
        <v>920</v>
      </c>
      <c r="N3" s="6" t="s">
        <v>923</v>
      </c>
      <c r="O3" s="6" t="s">
        <v>924</v>
      </c>
      <c r="P3" s="6" t="s">
        <v>922</v>
      </c>
    </row>
    <row r="4" spans="1:16" x14ac:dyDescent="0.3">
      <c r="A4" s="6" t="s">
        <v>13</v>
      </c>
      <c r="B4" s="7">
        <v>392379</v>
      </c>
      <c r="D4" s="6" t="s">
        <v>31</v>
      </c>
      <c r="E4" s="7">
        <v>778401</v>
      </c>
      <c r="G4" s="6" t="s">
        <v>921</v>
      </c>
      <c r="H4" s="7">
        <v>1538547</v>
      </c>
      <c r="J4" t="s">
        <v>43</v>
      </c>
      <c r="K4" s="2">
        <v>245328</v>
      </c>
      <c r="L4" s="9">
        <v>4</v>
      </c>
      <c r="M4" s="7">
        <v>1538547</v>
      </c>
      <c r="N4" s="7">
        <v>1873130</v>
      </c>
      <c r="O4" s="7">
        <v>334583</v>
      </c>
      <c r="P4" s="10">
        <v>35</v>
      </c>
    </row>
    <row r="5" spans="1:16" x14ac:dyDescent="0.3">
      <c r="A5" s="6" t="s">
        <v>92</v>
      </c>
      <c r="B5" s="7">
        <v>471180</v>
      </c>
      <c r="D5" s="6" t="s">
        <v>36</v>
      </c>
      <c r="E5" s="7">
        <v>91878</v>
      </c>
      <c r="G5" s="6" t="s">
        <v>919</v>
      </c>
      <c r="H5" s="7">
        <v>1538547</v>
      </c>
      <c r="J5" t="s">
        <v>17</v>
      </c>
      <c r="K5" s="2">
        <v>1293219</v>
      </c>
      <c r="L5" s="9">
        <v>31</v>
      </c>
    </row>
    <row r="6" spans="1:16" x14ac:dyDescent="0.3">
      <c r="A6" s="6" t="s">
        <v>72</v>
      </c>
      <c r="B6" s="7">
        <v>303839</v>
      </c>
      <c r="D6" s="6" t="s">
        <v>21</v>
      </c>
      <c r="E6" s="7">
        <v>233240</v>
      </c>
      <c r="J6" t="s">
        <v>919</v>
      </c>
      <c r="K6" s="2">
        <v>1538547</v>
      </c>
      <c r="L6" s="8">
        <v>35</v>
      </c>
    </row>
    <row r="7" spans="1:16" x14ac:dyDescent="0.3">
      <c r="A7" s="6" t="s">
        <v>21</v>
      </c>
      <c r="B7" s="7">
        <v>253250</v>
      </c>
      <c r="D7" s="6" t="s">
        <v>26</v>
      </c>
      <c r="E7" s="7">
        <v>29519</v>
      </c>
    </row>
    <row r="8" spans="1:16" x14ac:dyDescent="0.3">
      <c r="A8" s="6" t="s">
        <v>114</v>
      </c>
      <c r="B8" s="7">
        <v>93600</v>
      </c>
      <c r="D8" s="6" t="s">
        <v>14</v>
      </c>
      <c r="E8" s="7">
        <v>110161</v>
      </c>
    </row>
    <row r="9" spans="1:16" x14ac:dyDescent="0.3">
      <c r="A9" s="6" t="s">
        <v>46</v>
      </c>
      <c r="B9" s="7">
        <v>24299</v>
      </c>
      <c r="D9" s="6" t="s">
        <v>132</v>
      </c>
      <c r="E9" s="7">
        <v>126955</v>
      </c>
    </row>
    <row r="10" spans="1:16" x14ac:dyDescent="0.3">
      <c r="A10" s="6" t="s">
        <v>919</v>
      </c>
      <c r="B10" s="7">
        <v>1538547</v>
      </c>
      <c r="D10" s="6" t="s">
        <v>58</v>
      </c>
      <c r="E10" s="7">
        <v>129763</v>
      </c>
    </row>
    <row r="11" spans="1:16" x14ac:dyDescent="0.3">
      <c r="D11" s="6" t="s">
        <v>54</v>
      </c>
      <c r="E11" s="7">
        <v>38630</v>
      </c>
    </row>
    <row r="12" spans="1:16" x14ac:dyDescent="0.3">
      <c r="D12" s="6" t="s">
        <v>919</v>
      </c>
      <c r="E12" s="7">
        <v>1538547</v>
      </c>
    </row>
    <row r="25" spans="1:6" x14ac:dyDescent="0.3">
      <c r="A25" s="5" t="s">
        <v>6</v>
      </c>
      <c r="B25" s="6" t="s">
        <v>920</v>
      </c>
      <c r="D25" s="5" t="s">
        <v>2</v>
      </c>
      <c r="E25" s="6" t="s">
        <v>925</v>
      </c>
      <c r="F25" s="6" t="s">
        <v>923</v>
      </c>
    </row>
    <row r="26" spans="1:6" x14ac:dyDescent="0.3">
      <c r="A26" s="6" t="s">
        <v>51</v>
      </c>
      <c r="B26" s="7">
        <v>111838</v>
      </c>
      <c r="D26" s="6" t="s">
        <v>13</v>
      </c>
      <c r="E26" s="7">
        <v>392379</v>
      </c>
      <c r="F26" s="7">
        <v>443874</v>
      </c>
    </row>
    <row r="27" spans="1:6" x14ac:dyDescent="0.3">
      <c r="A27" s="6" t="s">
        <v>16</v>
      </c>
      <c r="B27" s="7">
        <v>542868</v>
      </c>
      <c r="D27" s="6" t="s">
        <v>92</v>
      </c>
      <c r="E27" s="7">
        <v>471180</v>
      </c>
      <c r="F27" s="7">
        <v>579527</v>
      </c>
    </row>
    <row r="28" spans="1:6" x14ac:dyDescent="0.3">
      <c r="A28" s="6" t="s">
        <v>38</v>
      </c>
      <c r="B28" s="7">
        <v>738630</v>
      </c>
      <c r="D28" s="6" t="s">
        <v>72</v>
      </c>
      <c r="E28" s="7">
        <v>303839</v>
      </c>
      <c r="F28" s="7">
        <v>371751</v>
      </c>
    </row>
    <row r="29" spans="1:6" x14ac:dyDescent="0.3">
      <c r="A29" s="6" t="s">
        <v>23</v>
      </c>
      <c r="B29" s="7">
        <v>145211</v>
      </c>
      <c r="D29" s="6" t="s">
        <v>21</v>
      </c>
      <c r="E29" s="7">
        <v>253250</v>
      </c>
      <c r="F29" s="7">
        <v>336833</v>
      </c>
    </row>
    <row r="30" spans="1:6" x14ac:dyDescent="0.3">
      <c r="A30" s="6" t="s">
        <v>919</v>
      </c>
      <c r="B30" s="7">
        <v>1538547</v>
      </c>
      <c r="D30" s="6" t="s">
        <v>114</v>
      </c>
      <c r="E30" s="7">
        <v>93600</v>
      </c>
      <c r="F30" s="7">
        <v>109146</v>
      </c>
    </row>
    <row r="31" spans="1:6" x14ac:dyDescent="0.3">
      <c r="D31" s="6" t="s">
        <v>46</v>
      </c>
      <c r="E31" s="7">
        <v>24299</v>
      </c>
      <c r="F31" s="7">
        <v>31999</v>
      </c>
    </row>
    <row r="32" spans="1:6" x14ac:dyDescent="0.3">
      <c r="D32" s="6" t="s">
        <v>919</v>
      </c>
      <c r="E32" s="7">
        <v>1538547</v>
      </c>
      <c r="F32" s="7">
        <v>1873130</v>
      </c>
    </row>
    <row r="50" spans="1:15" x14ac:dyDescent="0.3">
      <c r="A50" t="s">
        <v>2</v>
      </c>
      <c r="B50" t="s">
        <v>926</v>
      </c>
      <c r="D50" t="s">
        <v>3</v>
      </c>
      <c r="E50" t="s">
        <v>926</v>
      </c>
      <c r="G50" t="s">
        <v>918</v>
      </c>
      <c r="H50" t="s">
        <v>926</v>
      </c>
      <c r="J50" t="s">
        <v>6</v>
      </c>
      <c r="K50" t="s">
        <v>926</v>
      </c>
      <c r="M50" t="s">
        <v>2</v>
      </c>
      <c r="N50" t="s">
        <v>925</v>
      </c>
      <c r="O50" t="s">
        <v>8</v>
      </c>
    </row>
    <row r="51" spans="1:15" x14ac:dyDescent="0.3">
      <c r="A51" t="str">
        <f>Pivot!$A$4</f>
        <v>Engineering</v>
      </c>
      <c r="B51" s="2">
        <f>Pivot!$B$4</f>
        <v>392379</v>
      </c>
      <c r="D51" t="str">
        <f>Pivot!$D$4</f>
        <v>Consulting</v>
      </c>
      <c r="E51" s="2">
        <f>Pivot!$E$4</f>
        <v>778401</v>
      </c>
      <c r="G51" t="str">
        <f>Pivot!$G$4</f>
        <v>Dec</v>
      </c>
      <c r="H51" s="2">
        <f>Pivot!$H$4</f>
        <v>1538547</v>
      </c>
      <c r="J51" t="str">
        <f>Pivot!$A$26</f>
        <v>Bank Transfer</v>
      </c>
      <c r="K51" s="2">
        <f>Pivot!$B$26</f>
        <v>111838</v>
      </c>
      <c r="M51" t="str">
        <f>Pivot!$D$26</f>
        <v>Engineering</v>
      </c>
      <c r="N51" s="2">
        <f>Pivot!$E$26</f>
        <v>392379</v>
      </c>
      <c r="O51" s="2">
        <f>Pivot!$F$26</f>
        <v>443874</v>
      </c>
    </row>
    <row r="52" spans="1:15" x14ac:dyDescent="0.3">
      <c r="A52" t="str">
        <f>Pivot!$A$5</f>
        <v>Finance</v>
      </c>
      <c r="B52" s="2">
        <f>Pivot!$B$5</f>
        <v>471180</v>
      </c>
      <c r="D52" t="str">
        <f>Pivot!$D$5</f>
        <v>Equipment</v>
      </c>
      <c r="E52" s="2">
        <f>Pivot!$E$5</f>
        <v>91878</v>
      </c>
      <c r="G52" t="str">
        <f>Pivot!$G$5</f>
        <v>Grand Total</v>
      </c>
      <c r="H52" s="2">
        <f>Pivot!$H$5</f>
        <v>1538547</v>
      </c>
      <c r="J52" t="str">
        <f>Pivot!$A$27</f>
        <v>Cash</v>
      </c>
      <c r="K52" s="2">
        <f>Pivot!$B$27</f>
        <v>542868</v>
      </c>
      <c r="M52" t="str">
        <f>Pivot!$D$27</f>
        <v>Finance</v>
      </c>
      <c r="N52" s="2">
        <f>Pivot!$E$27</f>
        <v>471180</v>
      </c>
      <c r="O52" s="2">
        <f>Pivot!$F$27</f>
        <v>579527</v>
      </c>
    </row>
    <row r="53" spans="1:15" x14ac:dyDescent="0.3">
      <c r="A53" t="str">
        <f>Pivot!$A$6</f>
        <v>HR</v>
      </c>
      <c r="B53" s="2">
        <f>Pivot!$B$6</f>
        <v>303839</v>
      </c>
      <c r="D53" t="str">
        <f>Pivot!$D$6</f>
        <v>Marketing</v>
      </c>
      <c r="E53" s="2">
        <f>Pivot!$E$6</f>
        <v>233240</v>
      </c>
      <c r="G53">
        <f>Pivot!$G$6</f>
        <v>0</v>
      </c>
      <c r="H53" s="2">
        <f>Pivot!$H$6</f>
        <v>0</v>
      </c>
      <c r="J53" t="str">
        <f>Pivot!$A$28</f>
        <v>Cheque</v>
      </c>
      <c r="K53" s="2">
        <f>Pivot!$B$28</f>
        <v>738630</v>
      </c>
      <c r="M53" t="str">
        <f>Pivot!$D$28</f>
        <v>HR</v>
      </c>
      <c r="N53" s="2">
        <f>Pivot!$E$28</f>
        <v>303839</v>
      </c>
      <c r="O53" s="2">
        <f>Pivot!$F$28</f>
        <v>371751</v>
      </c>
    </row>
    <row r="54" spans="1:15" x14ac:dyDescent="0.3">
      <c r="A54" t="str">
        <f>Pivot!$A$7</f>
        <v>Marketing</v>
      </c>
      <c r="B54" s="2">
        <f>Pivot!$B$7</f>
        <v>253250</v>
      </c>
      <c r="D54" t="str">
        <f>Pivot!$D$7</f>
        <v>Office Supplies</v>
      </c>
      <c r="E54" s="2">
        <f>Pivot!$E$7</f>
        <v>29519</v>
      </c>
      <c r="G54">
        <f>Pivot!$G$7</f>
        <v>0</v>
      </c>
      <c r="H54" s="2">
        <f>Pivot!$H$7</f>
        <v>0</v>
      </c>
      <c r="J54" t="str">
        <f>Pivot!$A$29</f>
        <v>Credit Card</v>
      </c>
      <c r="K54" s="2">
        <f>Pivot!$B$29</f>
        <v>145211</v>
      </c>
      <c r="M54" t="str">
        <f>Pivot!$D$29</f>
        <v>Marketing</v>
      </c>
      <c r="N54" s="2">
        <f>Pivot!$E$29</f>
        <v>253250</v>
      </c>
      <c r="O54" s="2">
        <f>Pivot!$F$29</f>
        <v>336833</v>
      </c>
    </row>
    <row r="55" spans="1:15" x14ac:dyDescent="0.3">
      <c r="A55" t="str">
        <f>Pivot!$A$8</f>
        <v>Operations</v>
      </c>
      <c r="B55" s="2">
        <f>Pivot!$B$8</f>
        <v>93600</v>
      </c>
      <c r="D55" t="str">
        <f>Pivot!$D$8</f>
        <v>Software</v>
      </c>
      <c r="E55" s="2">
        <f>Pivot!$E$8</f>
        <v>110161</v>
      </c>
      <c r="G55">
        <f>Pivot!$G$8</f>
        <v>0</v>
      </c>
      <c r="H55" s="2">
        <f>Pivot!$H$8</f>
        <v>0</v>
      </c>
      <c r="M55" t="str">
        <f>Pivot!$D$30</f>
        <v>Operations</v>
      </c>
      <c r="N55" s="2">
        <f>Pivot!$E$30</f>
        <v>93600</v>
      </c>
      <c r="O55" s="2">
        <f>Pivot!$F$30</f>
        <v>109146</v>
      </c>
    </row>
    <row r="56" spans="1:15" x14ac:dyDescent="0.3">
      <c r="A56" t="str">
        <f>Pivot!$A$9</f>
        <v>Sales</v>
      </c>
      <c r="B56" s="2">
        <f>Pivot!$B$9</f>
        <v>24299</v>
      </c>
      <c r="D56" t="str">
        <f>Pivot!$D$9</f>
        <v>Training</v>
      </c>
      <c r="E56" s="2">
        <f>Pivot!$E$9</f>
        <v>126955</v>
      </c>
      <c r="G56">
        <f>Pivot!$G$9</f>
        <v>0</v>
      </c>
      <c r="H56" s="2">
        <f>Pivot!$H$9</f>
        <v>0</v>
      </c>
      <c r="M56" t="str">
        <f>Pivot!$D$31</f>
        <v>Sales</v>
      </c>
      <c r="N56" s="2">
        <f>Pivot!$E$31</f>
        <v>24299</v>
      </c>
      <c r="O56" s="2">
        <f>Pivot!$F$31</f>
        <v>31999</v>
      </c>
    </row>
    <row r="57" spans="1:15" x14ac:dyDescent="0.3">
      <c r="D57" t="str">
        <f>Pivot!$D$10</f>
        <v>Travel</v>
      </c>
      <c r="E57" s="2">
        <f>Pivot!$E$10</f>
        <v>129763</v>
      </c>
      <c r="G57">
        <f>Pivot!$G$10</f>
        <v>0</v>
      </c>
      <c r="H57" s="2">
        <f>Pivot!$H$10</f>
        <v>0</v>
      </c>
    </row>
    <row r="58" spans="1:15" x14ac:dyDescent="0.3">
      <c r="D58" t="str">
        <f>Pivot!$D$11</f>
        <v>Utilities</v>
      </c>
      <c r="E58" s="2">
        <f>Pivot!$E$11</f>
        <v>38630</v>
      </c>
      <c r="G58">
        <f>Pivot!$G$11</f>
        <v>0</v>
      </c>
      <c r="H58" s="2">
        <f>Pivot!$H$11</f>
        <v>0</v>
      </c>
    </row>
    <row r="59" spans="1:15" x14ac:dyDescent="0.3">
      <c r="G59">
        <f>Pivot!$G$12</f>
        <v>0</v>
      </c>
      <c r="H59" s="2">
        <f>Pivot!$H$12</f>
        <v>0</v>
      </c>
    </row>
    <row r="60" spans="1:15" x14ac:dyDescent="0.3">
      <c r="G60">
        <f>Pivot!$G$13</f>
        <v>0</v>
      </c>
      <c r="H60" s="2">
        <f>Pivot!$H$13</f>
        <v>0</v>
      </c>
    </row>
    <row r="61" spans="1:15" x14ac:dyDescent="0.3">
      <c r="G61">
        <f>Pivot!$G$14</f>
        <v>0</v>
      </c>
      <c r="H61" s="2">
        <f>Pivot!$H$14</f>
        <v>0</v>
      </c>
    </row>
    <row r="62" spans="1:15" x14ac:dyDescent="0.3">
      <c r="G62">
        <f>Pivot!$G$15</f>
        <v>0</v>
      </c>
      <c r="H62" s="2">
        <f>Pivot!$H$15</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ranjith jeyaraman</cp:lastModifiedBy>
  <dcterms:created xsi:type="dcterms:W3CDTF">2026-05-19T08:07:04Z</dcterms:created>
  <dcterms:modified xsi:type="dcterms:W3CDTF">2026-06-24T06:30:02Z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